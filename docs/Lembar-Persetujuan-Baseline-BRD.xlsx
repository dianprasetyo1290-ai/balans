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Usulan" sheetId="2" state="visible" r:id="rId2"/>
    <sheet xmlns:r="http://schemas.openxmlformats.org/officeDocument/2006/relationships" name="Konfirmasi" sheetId="3" state="visible" r:id="rId3"/>
    <sheet xmlns:r="http://schemas.openxmlformats.org/officeDocument/2006/relationships" name="Opsional" sheetId="4" state="visible" r:id="rId4"/>
    <sheet xmlns:r="http://schemas.openxmlformats.org/officeDocument/2006/relationships" name="Parameter" sheetId="5" state="visible" r:id="rId5"/>
    <sheet xmlns:r="http://schemas.openxmlformats.org/officeDocument/2006/relationships" name="Data Balans" sheetId="6" state="visible" r:id="rId6"/>
    <sheet xmlns:r="http://schemas.openxmlformats.org/officeDocument/2006/relationships" name="Ringkasan"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1"/>
    </font>
    <font>
      <b val="1"/>
      <color rgb="00FFFFFF"/>
    </font>
  </fonts>
  <fills count="3">
    <fill>
      <patternFill/>
    </fill>
    <fill>
      <patternFill patternType="gray125"/>
    </fill>
    <fill>
      <patternFill patternType="solid">
        <fgColor rgb="00C2410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Lembar Persetujuan Baseline BRD v0.7 → v1.0</t>
        </is>
      </c>
    </row>
    <row r="2">
      <c r="A2" s="2" t="inlineStr">
        <is>
          <t>Balans Nutrition — Unified Business Platform · PRD Fase 0 (F0-APR-01 s.d. F0-APR-04)</t>
        </is>
      </c>
    </row>
    <row r="3">
      <c r="A3" s="2" t="inlineStr"/>
    </row>
    <row r="4">
      <c r="A4" s="2" t="inlineStr">
        <is>
          <t>1. Isi kolom Status untuk setiap usulan (U) dan pernyataan (K) saat workshop per divisi: Setuju atau Koreksi.</t>
        </is>
      </c>
    </row>
    <row r="5">
      <c r="A5" s="2" t="inlineStr">
        <is>
          <t>2. Jika Koreksi, tulis isi koreksi yang disepakati. Koreksi dimasukkan ke BRD v1.0.</t>
        </is>
      </c>
    </row>
    <row r="6">
      <c r="A6" s="2" t="inlineStr">
        <is>
          <t>3. Sheet Opsional: isi Diambil? (Ya/Tidak) untuk U-28 s.d. U-32 dan anggaran biaya (ACC-23).</t>
        </is>
      </c>
    </row>
    <row r="7">
      <c r="A7" s="2" t="inlineStr">
        <is>
          <t>4. Sheet Parameter: pilih 'Nilai awal disetujui' atau 'Diganti', lalu isi nilai pengganti.</t>
        </is>
      </c>
    </row>
    <row r="8">
      <c r="A8" s="2" t="inlineStr">
        <is>
          <t>5. Sheet Data Balans: catat status data yang diserahkan dan tanggal yang disepakati.</t>
        </is>
      </c>
    </row>
    <row r="9">
      <c r="A9" s="2" t="inlineStr">
        <is>
          <t>6. Sheet Ringkasan terhitung otomatis dan dipakai di gate exit Fase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70" customWidth="1" min="3" max="3"/>
    <col width="22" customWidth="1" min="4" max="4"/>
    <col width="16" customWidth="1" min="5" max="5"/>
    <col width="12" customWidth="1" min="6" max="6"/>
    <col width="40" customWidth="1" min="7" max="7"/>
    <col width="16" customWidth="1" min="8" max="8"/>
    <col width="12" customWidth="1" min="9" max="9"/>
  </cols>
  <sheetData>
    <row r="1" ht="30" customHeight="1">
      <c r="A1" s="3" t="inlineStr">
        <is>
          <t>ID</t>
        </is>
      </c>
      <c r="B1" s="3" t="inlineStr">
        <is>
          <t>Topik</t>
        </is>
      </c>
      <c r="C1" s="3" t="inlineStr">
        <is>
          <t>Usulan</t>
        </is>
      </c>
      <c r="D1" s="3" t="inlineStr">
        <is>
          <t>Requirement</t>
        </is>
      </c>
      <c r="E1" s="3" t="inlineStr">
        <is>
          <t>Divisi workshop</t>
        </is>
      </c>
      <c r="F1" s="3" t="inlineStr">
        <is>
          <t>Status</t>
        </is>
      </c>
      <c r="G1" s="3" t="inlineStr">
        <is>
          <t>Isi koreksi</t>
        </is>
      </c>
      <c r="H1" s="3" t="inlineStr">
        <is>
          <t>PIC Balans</t>
        </is>
      </c>
      <c r="I1" s="3" t="inlineStr">
        <is>
          <t>Tanggal</t>
        </is>
      </c>
    </row>
    <row r="2">
      <c r="A2" s="4" t="inlineStr">
        <is>
          <t>U-01</t>
        </is>
      </c>
      <c r="B2" s="4" t="inlineStr">
        <is>
          <t>Arti "GM"</t>
        </is>
      </c>
      <c r="C2" s="4" t="inlineStr">
        <is>
          <t>GM = Gudang Material: lokasi untuk packaging dan bahan reprocess (barang retur yang akan diproses ulang maklon). Kedua konteks di catatan kebutuhan tertampung (5.1)</t>
        </is>
      </c>
      <c r="D2" s="4" t="inlineStr">
        <is>
          <t>MD-02, MD-09</t>
        </is>
      </c>
      <c r="E2" s="4" t="inlineStr">
        <is>
          <t>Logistik &amp; F&amp;A</t>
        </is>
      </c>
      <c r="F2" s="4" t="n"/>
      <c r="G2" s="4" t="n"/>
      <c r="H2" s="4" t="n"/>
      <c r="I2" s="4" t="n"/>
    </row>
    <row r="3">
      <c r="A3" s="4" t="inlineStr">
        <is>
          <t>U-02</t>
        </is>
      </c>
      <c r="B3" s="4" t="inlineStr">
        <is>
          <t>Rekonsiliasi konsinyasi &amp; barang hilang/rusak</t>
        </is>
      </c>
      <c r="C3" s="4" t="inlineStr">
        <is>
          <t>Cut-off akhir bulan; terjual = stok awal + kiriman − tarikan − sisa fisik, dicocokkan dengan laporan partner; Berita Acara Rekonsiliasi → approval → invoice otomatis. Default selisih: hilang/rusak karena partner ditagih ke partner, cacat produk/mendekati expired ditanggung Balans; dapat diubah per PKS (5.5)</t>
        </is>
      </c>
      <c r="D3" s="4" t="inlineStr">
        <is>
          <t>MD-07, SLS-03, SLS-09</t>
        </is>
      </c>
      <c r="E3" s="4" t="inlineStr">
        <is>
          <t>Sales</t>
        </is>
      </c>
      <c r="F3" s="4" t="n"/>
      <c r="G3" s="4" t="n"/>
      <c r="H3" s="4" t="n"/>
      <c r="I3" s="4" t="n"/>
    </row>
    <row r="4">
      <c r="A4" s="4" t="inlineStr">
        <is>
          <t>U-03</t>
        </is>
      </c>
      <c r="B4" s="4" t="inlineStr">
        <is>
          <t>Model harga</t>
        </is>
      </c>
      <c r="C4" s="4" t="inlineStr">
        <is>
          <t>Price list per channel, per partner, per level reseller, karyawan, vending; promo periode; harga bertingkat qty; urutan prioritas harga; batas diskon per role (5.18)</t>
        </is>
      </c>
      <c r="D4" s="4" t="inlineStr">
        <is>
          <t>MD-04, MD-11, MD-12</t>
        </is>
      </c>
      <c r="E4" s="4" t="inlineStr">
        <is>
          <t>Sales</t>
        </is>
      </c>
      <c r="F4" s="4" t="n"/>
      <c r="G4" s="4" t="n"/>
      <c r="H4" s="4" t="n"/>
      <c r="I4" s="4" t="n"/>
    </row>
    <row r="5">
      <c r="A5" s="4" t="inlineStr">
        <is>
          <t>U-04</t>
        </is>
      </c>
      <c r="B5" s="4" t="inlineStr">
        <is>
          <t>Validasi jurnal &amp; COA</t>
        </is>
      </c>
      <c r="C5" s="4" t="inlineStr">
        <is>
          <t>COA usulan (7.1) dan jurnal otomatis (7.2)</t>
        </is>
      </c>
      <c r="D5" s="4" t="inlineStr">
        <is>
          <t>ACC-01, ACC-02, PRC-10</t>
        </is>
      </c>
      <c r="E5" s="4" t="inlineStr">
        <is>
          <t>Logistik &amp; F&amp;A</t>
        </is>
      </c>
      <c r="F5" s="4" t="n"/>
      <c r="G5" s="4" t="n"/>
      <c r="H5" s="4" t="n"/>
      <c r="I5" s="4" t="n"/>
    </row>
    <row r="6">
      <c r="A6" s="4" t="inlineStr">
        <is>
          <t>U-05</t>
        </is>
      </c>
      <c r="B6" s="4" t="inlineStr">
        <is>
          <t>Vendor &amp; API vending</t>
        </is>
      </c>
      <c r="C6" s="4" t="inlineStr">
        <is>
          <t>Desain tidak bergantung vendor: penjualan dari webhook Midtrans dengan kode mesin di `order_id`; jika SKU tidak terkirim, pemotongan stok per SKU dilakukan saat refill. API vendor (status stok/mesin) bersifat tambahan di Fase 3. Kontak vendor tetap dibutuhkan (12.3)</t>
        </is>
      </c>
      <c r="D6" s="4" t="inlineStr">
        <is>
          <t>VND-03, VND-06</t>
        </is>
      </c>
      <c r="E6" s="4" t="inlineStr">
        <is>
          <t>Sales</t>
        </is>
      </c>
      <c r="F6" s="4" t="n"/>
      <c r="G6" s="4" t="n"/>
      <c r="H6" s="4" t="n"/>
      <c r="I6" s="4" t="n"/>
    </row>
    <row r="7">
      <c r="A7" s="4" t="inlineStr">
        <is>
          <t>U-06</t>
        </is>
      </c>
      <c r="B7" s="4" t="inlineStr">
        <is>
          <t>Pajak selain PPN</t>
        </is>
      </c>
      <c r="C7" s="4" t="inlineStr">
        <is>
          <t>Sistem mendukung pemotongan PPh 21 (karyawan via payroll, endorser perorangan), PPh 23 (jasa dari badan usaha, termasuk jasa maklon yang umumnya merupakan objek PPh 23), PPh 4(2) (sewa bangunan), dan PPh Final UMKM atas omzet (dapat diaktifkan sesuai status Balans). Sistem menghasilkan rekap untuk diinput ke Coretax; pelaporan tetap oleh Finance &amp; Accounting. Tarif dan objek pajak final dikonfirmasi konsultan pajak Balans</t>
        </is>
      </c>
      <c r="D7" s="4" t="inlineStr">
        <is>
          <t>ACC-19, ACC-20, HR-10, RPT-18</t>
        </is>
      </c>
      <c r="E7" s="4" t="inlineStr">
        <is>
          <t>Logistik &amp; F&amp;A</t>
        </is>
      </c>
      <c r="F7" s="4" t="n"/>
      <c r="G7" s="4" t="n"/>
      <c r="H7" s="4" t="n"/>
      <c r="I7" s="4" t="n"/>
    </row>
    <row r="8">
      <c r="A8" s="4" t="inlineStr">
        <is>
          <t>U-07</t>
        </is>
      </c>
      <c r="B8" s="4" t="inlineStr">
        <is>
          <t>Approver &amp; batas nominal PO</t>
        </is>
      </c>
      <c r="C8" s="4" t="inlineStr">
        <is>
          <t>≤ Rp10 jt: Head Finance &amp; Accounting; &gt; Rp10 jt s.d. Rp50 jt: + Direksi; &gt; Rp50 jt: + Direktur Utama. Matriks approval lengkap di 5.17</t>
        </is>
      </c>
      <c r="D8" s="4" t="inlineStr">
        <is>
          <t>PRC-06</t>
        </is>
      </c>
      <c r="E8" s="4" t="inlineStr">
        <is>
          <t>Logistik &amp; F&amp;A</t>
        </is>
      </c>
      <c r="F8" s="4" t="n"/>
      <c r="G8" s="4" t="n"/>
      <c r="H8" s="4" t="n"/>
      <c r="I8" s="4" t="n"/>
    </row>
    <row r="9">
      <c r="A9" s="4" t="inlineStr">
        <is>
          <t>U-08</t>
        </is>
      </c>
      <c r="B9" s="4" t="inlineStr">
        <is>
          <t>Gudang fisik &amp; lokasi</t>
        </is>
      </c>
      <c r="C9" s="4" t="inlineStr">
        <is>
          <t>Satu gudang fisik (Gudang Utama) dengan lokasi Inbound, FG Non-Ecommerce, E-commerce Stock, Gudang Material, Retur; plus lokasi eksternal maklon, konsinyasi, buffer vending, mesin. Gudang berikutnya ditambah lewat master data. Jadwal stock count di WMS-11</t>
        </is>
      </c>
      <c r="D9" s="4" t="inlineStr">
        <is>
          <t>MD-09, WMS-11</t>
        </is>
      </c>
      <c r="E9" s="4" t="inlineStr">
        <is>
          <t>Logistik &amp; F&amp;A</t>
        </is>
      </c>
      <c r="F9" s="4" t="n"/>
      <c r="G9" s="4" t="n"/>
      <c r="H9" s="4" t="n"/>
      <c r="I9" s="4" t="n"/>
    </row>
    <row r="10">
      <c r="A10" s="4" t="inlineStr">
        <is>
          <t>U-09</t>
        </is>
      </c>
      <c r="B10" s="4" t="inlineStr">
        <is>
          <t>QC &amp; disposisi retur</t>
        </is>
      </c>
      <c r="C10" s="4" t="inlineStr">
        <is>
          <t>Semua retur di-QC; staf gudang mengusulkan disposisi, Head Logistik menyetujui. Opsi: kembali ke stok, repacking, reprocess maklon, dialihkan ke sample/marketing, atau pemusnahan dengan berita acara dan approval Finance &amp; Accounting (5.11)</t>
        </is>
      </c>
      <c r="D10" s="4" t="inlineStr">
        <is>
          <t>WMS-07, INV-12, MD-13</t>
        </is>
      </c>
      <c r="E10" s="4" t="inlineStr">
        <is>
          <t>Logistik &amp; F&amp;A</t>
        </is>
      </c>
      <c r="F10" s="4" t="n"/>
      <c r="G10" s="4" t="n"/>
      <c r="H10" s="4" t="n"/>
      <c r="I10" s="4" t="n"/>
    </row>
    <row r="11">
      <c r="A11" s="4" t="inlineStr">
        <is>
          <t>U-10</t>
        </is>
      </c>
      <c r="B11" s="4" t="inlineStr">
        <is>
          <t>Migrasi data</t>
        </is>
      </c>
      <c r="C11" s="4" t="inlineStr">
        <is>
          <t>Opsi A (data master + saldo awal), ditambah piutang/utang terbuka per dokumen, PO terbuka, stok per batch per lokasi, dan register aset tetap. Saldo awal per tanggal cut-over di akhir periode akuntansi. Transaksi historis tidak dimigrasi; arsip tetap di Excel</t>
        </is>
      </c>
      <c r="D11" s="4" t="inlineStr">
        <is>
          <t>ACC-14, A-36</t>
        </is>
      </c>
      <c r="E11" s="4" t="inlineStr">
        <is>
          <t>Logistik &amp; F&amp;A</t>
        </is>
      </c>
      <c r="F11" s="4" t="n"/>
      <c r="G11" s="4" t="n"/>
      <c r="H11" s="4" t="n"/>
      <c r="I11" s="4" t="n"/>
    </row>
    <row r="12">
      <c r="A12" s="4" t="inlineStr">
        <is>
          <t>U-11</t>
        </is>
      </c>
      <c r="B12" s="4" t="inlineStr">
        <is>
          <t>Mesin vending sebagai aset tetap</t>
        </is>
      </c>
      <c r="C12" s="4" t="inlineStr">
        <is>
          <t>Opsi A: register aset tetap dan penyusutan otomatis garis lurus, berlaku untuk semua aset (mesin vending, peralatan, kendaraan)</t>
        </is>
      </c>
      <c r="D12" s="4" t="inlineStr">
        <is>
          <t>ACC-21</t>
        </is>
      </c>
      <c r="E12" s="4" t="inlineStr">
        <is>
          <t>Logistik &amp; F&amp;A</t>
        </is>
      </c>
      <c r="F12" s="4" t="n"/>
      <c r="G12" s="4" t="n"/>
      <c r="H12" s="4" t="n"/>
      <c r="I12" s="4" t="n"/>
    </row>
    <row r="13">
      <c r="A13" s="4" t="inlineStr">
        <is>
          <t>U-12</t>
        </is>
      </c>
      <c r="B13" s="4" t="inlineStr">
        <is>
          <t>Siapa yang refill mesin</t>
        </is>
      </c>
      <c r="C13" s="4" t="inlineStr">
        <is>
          <t>Partner mengisi mesin dari Buffer Vending di lokasinya lewat form refill di HP (akses terbatas). Buffer vending dipisah dari stok konsinyasi partner. Selisih stok mesin dan buffer menjadi tanggung jawab partner sesuai PKS (5.6)</t>
        </is>
      </c>
      <c r="D13" s="4" t="inlineStr">
        <is>
          <t>VND-07, VND-08, WMS-08</t>
        </is>
      </c>
      <c r="E13" s="4" t="inlineStr">
        <is>
          <t>Sales</t>
        </is>
      </c>
      <c r="F13" s="4" t="n"/>
      <c r="G13" s="4" t="n"/>
      <c r="H13" s="4" t="n"/>
      <c r="I13" s="4" t="n"/>
    </row>
    <row r="14">
      <c r="A14" s="4" t="inlineStr">
        <is>
          <t>U-13</t>
        </is>
      </c>
      <c r="B14" s="4" t="inlineStr">
        <is>
          <t>Biaya operasional &amp; kas kecil</t>
        </is>
      </c>
      <c r="C14" s="4" t="inlineStr">
        <is>
          <t>Pengajuan biaya dengan approval per nominal; master jenis biaya; reimbursement via self-service; kas kecil imprest plafon Rp5 jt, maks. Rp1 jt per transaksi; anggaran per divisi opsional (5.14)</t>
        </is>
      </c>
      <c r="D14" s="4" t="inlineStr">
        <is>
          <t>ACC-11, ACC-12, ACC-23, MD-13</t>
        </is>
      </c>
      <c r="E14" s="4" t="inlineStr">
        <is>
          <t>Logistik &amp; F&amp;A</t>
        </is>
      </c>
      <c r="F14" s="4" t="n"/>
      <c r="G14" s="4" t="n"/>
      <c r="H14" s="4" t="n"/>
      <c r="I14" s="4" t="n"/>
    </row>
    <row r="15">
      <c r="A15" s="4" t="inlineStr">
        <is>
          <t>U-14</t>
        </is>
      </c>
      <c r="B15" s="4" t="inlineStr">
        <is>
          <t>Dimensi laba rugi</t>
        </is>
      </c>
      <c r="C15" s="4" t="inlineStr">
        <is>
          <t>Semua opsi (A–D): channel, sub-channel (per marketplace/partner), dan divisi sebagai dimensi jurnal; produk/kategori dari data penjualan &amp; HPP; kode kampanye opsional. Biaya bersama (gaji, sewa) tidak dialokasikan otomatis di tahap awal</t>
        </is>
      </c>
      <c r="D15" s="4" t="inlineStr">
        <is>
          <t>ACC-17, RPT-15</t>
        </is>
      </c>
      <c r="E15" s="4" t="inlineStr">
        <is>
          <t>Logistik &amp; F&amp;A</t>
        </is>
      </c>
      <c r="F15" s="4" t="n"/>
      <c r="G15" s="4" t="n"/>
      <c r="H15" s="4" t="n"/>
      <c r="I15" s="4" t="n"/>
    </row>
    <row r="16">
      <c r="A16" s="4" t="inlineStr">
        <is>
          <t>U-15</t>
        </is>
      </c>
      <c r="B16" s="4" t="inlineStr">
        <is>
          <t>Penomoran &amp; template dokumen</t>
        </is>
      </c>
      <c r="C16" s="4" t="inlineStr">
        <is>
          <t>Format `KODE/TAHUN/BULAN/NOMOR`, misalnya `INV/2027/05/00012`; nomor urut reset setiap tahun. Kode: PR, PO, GR, DO, PI (Proforma), INV, CN (nota kredit), DN (nota debit), RJ (retur jual), RB (retur beli), TRF, SC (stock count), KSN (rekonsiliasi konsinyasi), EXP (pengajuan biaya), KK (kas kecil), JV (jurnal). Template standar dengan logo, info rekening, dan keterangan NON-PKP</t>
        </is>
      </c>
      <c r="D16" s="4" t="inlineStr">
        <is>
          <t>NFR-08</t>
        </is>
      </c>
      <c r="E16" s="4" t="inlineStr">
        <is>
          <t>Logistik &amp; F&amp;A</t>
        </is>
      </c>
      <c r="F16" s="4" t="n"/>
      <c r="G16" s="4" t="n"/>
      <c r="H16" s="4" t="n"/>
      <c r="I16" s="4" t="n"/>
    </row>
    <row r="17">
      <c r="A17" s="4" t="inlineStr">
        <is>
          <t>U-16</t>
        </is>
      </c>
      <c r="B17" s="4" t="inlineStr">
        <is>
          <t>Fitur website</t>
        </is>
      </c>
      <c r="C17" s="4" t="inlineStr">
        <is>
          <t>Semua fitur di 6.11, dibagi fitur launch (katalog, checkout, Midtrans, ongkir &amp; resi Biteship, akun, voucher, harga karyawan/reseller, tracking, CMS/blog, SEO &amp; analytics) dan fitur lanjutan (subscription, poin, ulasan, wishlist &amp; keranjang tertinggal, referral, retur online)</t>
        </is>
      </c>
      <c r="D17" s="4" t="inlineStr">
        <is>
          <t>ECM-01 s.d. ECM-16, RSL-05</t>
        </is>
      </c>
      <c r="E17" s="4" t="inlineStr">
        <is>
          <t>Sales</t>
        </is>
      </c>
      <c r="F17" s="4" t="n"/>
      <c r="G17" s="4" t="n"/>
      <c r="H17" s="4" t="n"/>
      <c r="I17" s="4" t="n"/>
    </row>
    <row r="18">
      <c r="A18" s="4" t="inlineStr">
        <is>
          <t>U-17</t>
        </is>
      </c>
      <c r="B18" s="4" t="inlineStr">
        <is>
          <t>Payment gateway</t>
        </is>
      </c>
      <c r="C18" s="4" t="inlineStr">
        <is>
          <t>Satu akun Midtrans atas nama Balans untuk website, link bayar WA/IG, dan vending. Transaksi dibedakan dengan prefix `order_id` per channel/mesin</t>
        </is>
      </c>
      <c r="D18" s="4" t="inlineStr">
        <is>
          <t>INT-01, ECM-02</t>
        </is>
      </c>
      <c r="E18" s="4" t="inlineStr">
        <is>
          <t>Sales</t>
        </is>
      </c>
      <c r="F18" s="4" t="n"/>
      <c r="G18" s="4" t="n"/>
      <c r="H18" s="4" t="n"/>
      <c r="I18" s="4" t="n"/>
    </row>
    <row r="19">
      <c r="A19" s="4" t="inlineStr">
        <is>
          <t>U-18</t>
        </is>
      </c>
      <c r="B19" s="4" t="inlineStr">
        <is>
          <t>Alur reseller</t>
        </is>
      </c>
      <c r="C19" s="4" t="inlineStr">
        <is>
          <t>Registrasi via website → verifikasi → level Bronze/Silver/Gold; harga dan minimal order per level; bayar di muka (default), deposit, atau tempo untuk Gold; kirim via Biteship; evaluasi level tiap 3 bulan (5.10)</t>
        </is>
      </c>
      <c r="D19" s="4" t="inlineStr">
        <is>
          <t>RSL-01 s.d. RSL-07</t>
        </is>
      </c>
      <c r="E19" s="4" t="inlineStr">
        <is>
          <t>Sales</t>
        </is>
      </c>
      <c r="F19" s="4" t="n"/>
      <c r="G19" s="4" t="n"/>
      <c r="H19" s="4" t="n"/>
      <c r="I19" s="4" t="n"/>
    </row>
    <row r="20">
      <c r="A20" s="4" t="inlineStr">
        <is>
          <t>U-19</t>
        </is>
      </c>
      <c r="B20" s="4" t="inlineStr">
        <is>
          <t>Sales Pipeline</t>
        </is>
      </c>
      <c r="C20" s="4" t="inlineStr">
        <is>
          <t>Pipeline untuk partner MT/konsinyasi, reseller, dan B2B; aktivitas dan kunjungan; target &amp; pencapaian per sales dihitung otomatis dari invoice (5.19)</t>
        </is>
      </c>
      <c r="D20" s="4" t="inlineStr">
        <is>
          <t>SLP-01 s.d. SLP-04, RPT-16</t>
        </is>
      </c>
      <c r="E20" s="4" t="inlineStr">
        <is>
          <t>Sales</t>
        </is>
      </c>
      <c r="F20" s="4" t="n"/>
      <c r="G20" s="4" t="n"/>
      <c r="H20" s="4" t="n"/>
      <c r="I20" s="4" t="n"/>
    </row>
    <row r="21">
      <c r="A21" s="4" t="inlineStr">
        <is>
          <t>U-20</t>
        </is>
      </c>
      <c r="B21" s="4" t="inlineStr">
        <is>
          <t>Resi, pickup, tracking otomatis</t>
        </is>
      </c>
      <c r="C21" s="4" t="inlineStr">
        <is>
          <t>Integrasi Biteship penuh (order kurir, pickup, resi, tracking webhook), masuk rilis website agar order website langsung otomatis sejak launch</t>
        </is>
      </c>
      <c r="D21" s="4" t="inlineStr">
        <is>
          <t>LOG-05, LOG-06, INT-05</t>
        </is>
      </c>
      <c r="E21" s="4" t="inlineStr">
        <is>
          <t>Sales</t>
        </is>
      </c>
      <c r="F21" s="4" t="n"/>
      <c r="G21" s="4" t="n"/>
      <c r="H21" s="4" t="n"/>
      <c r="I21" s="4" t="n"/>
    </row>
    <row r="22">
      <c r="A22" s="4" t="inlineStr">
        <is>
          <t>U-21</t>
        </is>
      </c>
      <c r="B22" s="4" t="inlineStr">
        <is>
          <t>Integrasi marketplace</t>
        </is>
      </c>
      <c r="C22" s="4" t="inlineStr">
        <is>
          <t>Integrasi langsung: Shopee, TikTok Shop &amp; Tokopedia, Lazada, Blibli. Diluncurkan bertahap (dua marketplace dengan volume terbesar lebih dulu). Import Excel tetap tersedia sebagai cadangan</t>
        </is>
      </c>
      <c r="D22" s="4" t="inlineStr">
        <is>
          <t>INT-04, ACC-06</t>
        </is>
      </c>
      <c r="E22" s="4" t="inlineStr">
        <is>
          <t>Sales</t>
        </is>
      </c>
      <c r="F22" s="4" t="n"/>
      <c r="G22" s="4" t="n"/>
      <c r="H22" s="4" t="n"/>
      <c r="I22" s="4" t="n"/>
    </row>
    <row r="23">
      <c r="A23" s="4" t="inlineStr">
        <is>
          <t>U-22</t>
        </is>
      </c>
      <c r="B23" s="4" t="inlineStr">
        <is>
          <t>Lingkup HRIS</t>
        </is>
      </c>
      <c r="C23" s="4" t="inlineStr">
        <is>
          <t>HRIS lengkap: data &amp; kontrak karyawan, absensi geotag + selfie, shift, cuti/izin, lembur, payroll, BPJS, PPh 21 TER, jurnal payroll, self-service (5.16)</t>
        </is>
      </c>
      <c r="D23" s="4" t="inlineStr">
        <is>
          <t>HR-04 s.d. HR-12, RPT-17</t>
        </is>
      </c>
      <c r="E23" s="4" t="inlineStr">
        <is>
          <t>HRGA</t>
        </is>
      </c>
      <c r="F23" s="4" t="n"/>
      <c r="G23" s="4" t="n"/>
      <c r="H23" s="4" t="n"/>
      <c r="I23" s="4" t="n"/>
    </row>
    <row r="24">
      <c r="A24" s="4" t="inlineStr">
        <is>
          <t>U-23</t>
        </is>
      </c>
      <c r="B24" s="4" t="inlineStr">
        <is>
          <t>Jumlah karyawan</t>
        </is>
      </c>
      <c r="C24" s="4" t="inlineStr">
        <is>
          <t>Kapasitas desain HRIS hingga 100 karyawan tanpa perubahan desain</t>
        </is>
      </c>
      <c r="D24" s="4" t="inlineStr">
        <is>
          <t>NFR-10</t>
        </is>
      </c>
      <c r="E24" s="4" t="inlineStr">
        <is>
          <t>HRGA</t>
        </is>
      </c>
      <c r="F24" s="4" t="n"/>
      <c r="G24" s="4" t="n"/>
      <c r="H24" s="4" t="n"/>
      <c r="I24" s="4" t="n"/>
    </row>
    <row r="25">
      <c r="A25" s="4" t="inlineStr">
        <is>
          <t>U-24</t>
        </is>
      </c>
      <c r="B25" s="4" t="inlineStr">
        <is>
          <t>Barang Diterima Belum Ditagih</t>
        </is>
      </c>
      <c r="C25" s="4" t="inlineStr">
        <is>
          <t>Penerimaan barang dicatat ke akun penampung sampai tagihan supplier cocok (3-way match)</t>
        </is>
      </c>
      <c r="D25" s="4" t="inlineStr">
        <is>
          <t>PRC-07, ACC-22, A-01, A-18</t>
        </is>
      </c>
      <c r="E25" s="4" t="inlineStr">
        <is>
          <t>Logistik &amp; F&amp;A</t>
        </is>
      </c>
      <c r="F25" s="4" t="n"/>
      <c r="G25" s="4" t="n"/>
      <c r="H25" s="4" t="n"/>
      <c r="I25" s="4" t="n"/>
    </row>
    <row r="26">
      <c r="A26" s="4" t="inlineStr">
        <is>
          <t>U-25</t>
        </is>
      </c>
      <c r="B26" s="4" t="inlineStr">
        <is>
          <t>Waktu pengakuan penjualan</t>
        </is>
      </c>
      <c r="C26" s="4" t="inlineStr">
        <is>
          <t>Marketplace &amp; website: saat barang diserahkan ke kurir. Konsinyasi: saat rekonsiliasi. Vending: saat transaksi di mesin. MT beli putus: saat invoice</t>
        </is>
      </c>
      <c r="D26" s="4" t="inlineStr">
        <is>
          <t>A-05, A-09, A-10, A-21</t>
        </is>
      </c>
      <c r="E26" s="4" t="inlineStr">
        <is>
          <t>Logistik &amp; F&amp;A</t>
        </is>
      </c>
      <c r="F26" s="4" t="n"/>
      <c r="G26" s="4" t="n"/>
      <c r="H26" s="4" t="n"/>
      <c r="I26" s="4" t="n"/>
    </row>
    <row r="27">
      <c r="A27" s="4" t="inlineStr">
        <is>
          <t>U-26</t>
        </is>
      </c>
      <c r="B27" s="4" t="inlineStr">
        <is>
          <t>Uang muka pembelian</t>
        </is>
      </c>
      <c r="C27" s="4" t="inlineStr">
        <is>
          <t>Uang muka ke supplier/maklon dicatat terpisah dan otomatis dipotongkan dari tagihan</t>
        </is>
      </c>
      <c r="D27" s="4" t="inlineStr">
        <is>
          <t>PRC-09, A-19</t>
        </is>
      </c>
      <c r="E27" s="4" t="inlineStr">
        <is>
          <t>Logistik &amp; F&amp;A</t>
        </is>
      </c>
      <c r="F27" s="4" t="n"/>
      <c r="G27" s="4" t="n"/>
      <c r="H27" s="4" t="n"/>
      <c r="I27" s="4" t="n"/>
    </row>
    <row r="28">
      <c r="A28" s="4" t="inlineStr">
        <is>
          <t>U-27</t>
        </is>
      </c>
      <c r="B28" s="4" t="inlineStr">
        <is>
          <t>Karantina &amp; In-Transit</t>
        </is>
      </c>
      <c r="C28" s="4" t="inlineStr">
        <is>
          <t>Status Karantina untuk barang di Inbound sebelum diperiksa; status In-Transit untuk barang dalam perjalanan</t>
        </is>
      </c>
      <c r="D28" s="4" t="inlineStr">
        <is>
          <t>WMS-09, WMS-10</t>
        </is>
      </c>
      <c r="E28" s="4" t="inlineStr">
        <is>
          <t>Logistik &amp; F&amp;A</t>
        </is>
      </c>
      <c r="F28" s="4" t="n"/>
      <c r="G28" s="4" t="n"/>
      <c r="H28" s="4" t="n"/>
      <c r="I28" s="4" t="n"/>
    </row>
  </sheetData>
  <dataValidations count="1">
    <dataValidation sqref="F2:F28" showDropDown="0" showInputMessage="0" showErrorMessage="0" allowBlank="1" type="list">
      <formula1>"Setuju,Koreksi"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80" customWidth="1" min="3" max="3"/>
    <col width="16" customWidth="1" min="4" max="4"/>
    <col width="12" customWidth="1" min="5" max="5"/>
    <col width="40" customWidth="1" min="6" max="6"/>
    <col width="16" customWidth="1" min="7" max="7"/>
    <col width="12" customWidth="1" min="8" max="8"/>
  </cols>
  <sheetData>
    <row r="1" ht="30" customHeight="1">
      <c r="A1" s="3" t="inlineStr">
        <is>
          <t>ID</t>
        </is>
      </c>
      <c r="B1" s="3" t="inlineStr">
        <is>
          <t>Topik</t>
        </is>
      </c>
      <c r="C1" s="3" t="inlineStr">
        <is>
          <t>Pernyataan</t>
        </is>
      </c>
      <c r="D1" s="3" t="inlineStr">
        <is>
          <t>Divisi workshop</t>
        </is>
      </c>
      <c r="E1" s="3" t="inlineStr">
        <is>
          <t>Status</t>
        </is>
      </c>
      <c r="F1" s="3" t="inlineStr">
        <is>
          <t>Isi koreksi</t>
        </is>
      </c>
      <c r="G1" s="3" t="inlineStr">
        <is>
          <t>PIC Balans</t>
        </is>
      </c>
      <c r="H1" s="3" t="inlineStr">
        <is>
          <t>Tanggal</t>
        </is>
      </c>
    </row>
    <row r="2">
      <c r="A2" s="4" t="inlineStr">
        <is>
          <t>K-01</t>
        </is>
      </c>
      <c r="B2" s="4" t="inlineStr">
        <is>
          <t>Batch &amp; tanggal kedaluwarsa</t>
        </is>
      </c>
      <c r="C2" s="4" t="inlineStr">
        <is>
          <t>Setiap produk dicatat per batch beserta tanggal kedaluwarsanya di seluruh pergerakan stok. Batch dan tanggal kedaluwarsa wajib diisi saat barang diterima.</t>
        </is>
      </c>
      <c r="D2" s="4" t="inlineStr">
        <is>
          <t>Logistik &amp; F&amp;A</t>
        </is>
      </c>
      <c r="E2" s="4" t="n"/>
      <c r="F2" s="4" t="n"/>
      <c r="G2" s="4" t="n"/>
      <c r="H2" s="4" t="n"/>
    </row>
    <row r="3">
      <c r="A3" s="4" t="inlineStr">
        <is>
          <t>K-02</t>
        </is>
      </c>
      <c r="B3" s="4" t="inlineStr">
        <is>
          <t>Pengambilan stok FEFO</t>
        </is>
      </c>
      <c r="C3" s="4" t="inlineStr">
        <is>
          <t>Sistem menyarankan pengambilan batch dengan tanggal kedaluwarsa terdekat terlebih dahulu (First Expired, First Out) saat menyiapkan pesanan dan memindahkan stok.</t>
        </is>
      </c>
      <c r="D3" s="4" t="inlineStr">
        <is>
          <t>Logistik &amp; F&amp;A</t>
        </is>
      </c>
      <c r="E3" s="4" t="n"/>
      <c r="F3" s="4" t="n"/>
      <c r="G3" s="4" t="n"/>
      <c r="H3" s="4" t="n"/>
    </row>
    <row r="4">
      <c r="A4" s="4" t="inlineStr">
        <is>
          <t>K-03</t>
        </is>
      </c>
      <c r="B4" s="4" t="inlineStr">
        <is>
          <t>Metode HPP</t>
        </is>
      </c>
      <c r="C4" s="4" t="inlineStr">
        <is>
          <t>Persediaan dinilai dengan metode FIFO (First In, First Out).</t>
        </is>
      </c>
      <c r="D4" s="4" t="inlineStr">
        <is>
          <t>Logistik &amp; F&amp;A</t>
        </is>
      </c>
      <c r="E4" s="4" t="n"/>
      <c r="F4" s="4" t="n"/>
      <c r="G4" s="4" t="n"/>
      <c r="H4" s="4" t="n"/>
    </row>
    <row r="5">
      <c r="A5" s="4" t="inlineStr">
        <is>
          <t>K-04</t>
        </is>
      </c>
      <c r="B5" s="4" t="inlineStr">
        <is>
          <t>Status pajak</t>
        </is>
      </c>
      <c r="C5" s="4" t="inlineStr">
        <is>
          <t>Balans berstatus NON-PKP dan tidak berencana menjadi PKP. Invoice diterbitkan tanpa PPN, dan fitur PPN/e-Faktur tidak disediakan.</t>
        </is>
      </c>
      <c r="D5" s="4" t="inlineStr">
        <is>
          <t>Logistik &amp; F&amp;A</t>
        </is>
      </c>
      <c r="E5" s="4" t="n"/>
      <c r="F5" s="4" t="n"/>
      <c r="G5" s="4" t="n"/>
      <c r="H5" s="4" t="n"/>
    </row>
    <row r="6">
      <c r="A6" s="4" t="inlineStr">
        <is>
          <t>K-05</t>
        </is>
      </c>
      <c r="B6" s="4" t="inlineStr">
        <is>
          <t>Kepemilikan stok konsinyasi &amp; vending</t>
        </is>
      </c>
      <c r="C6" s="4" t="inlineStr">
        <is>
          <t>Stok di lokasi konsinyasi dan di dalam vending machine tetap milik Balans sampai terjual. Mesin vending adalah milik Balans.</t>
        </is>
      </c>
      <c r="D6" s="4" t="inlineStr">
        <is>
          <t>Sales</t>
        </is>
      </c>
      <c r="E6" s="4" t="n"/>
      <c r="F6" s="4" t="n"/>
      <c r="G6" s="4" t="n"/>
      <c r="H6" s="4" t="n"/>
    </row>
    <row r="7">
      <c r="A7" s="4" t="inlineStr">
        <is>
          <t>K-06</t>
        </is>
      </c>
      <c r="B7" s="4" t="inlineStr">
        <is>
          <t>Alur pembelian (procurement)</t>
        </is>
      </c>
      <c r="C7" s="4" t="inlineStr">
        <is>
          <t>Alur pembelian: Purchase Request dari divisi (opsional) → PO → approval berjenjang berdasarkan nominal → penerimaan barang → tagihan supplier → pencocokan PO, penerimaan, dan tagihan → pembayaran.</t>
        </is>
      </c>
      <c r="D7" s="4" t="inlineStr">
        <is>
          <t>Logistik &amp; F&amp;A</t>
        </is>
      </c>
      <c r="E7" s="4" t="n"/>
      <c r="F7" s="4" t="n"/>
      <c r="G7" s="4" t="n"/>
      <c r="H7" s="4" t="n"/>
    </row>
    <row r="8">
      <c r="A8" s="4" t="inlineStr">
        <is>
          <t>K-07</t>
        </is>
      </c>
      <c r="B8" s="4" t="inlineStr">
        <is>
          <t>Gudang &amp; penerimaan barang</t>
        </is>
      </c>
      <c r="C8" s="4" t="inlineStr">
        <is>
          <t>Sistem mendukung lebih dari satu gudang fisik. Semua kedatangan barang (dari supplier, maklon, retur customer, dan tarikan dari lokasi konsinyasi) masuk ke Gudang Inbound terlebih dahulu.</t>
        </is>
      </c>
      <c r="D8" s="4" t="inlineStr">
        <is>
          <t>Logistik &amp; F&amp;A</t>
        </is>
      </c>
      <c r="E8" s="4" t="n"/>
      <c r="F8" s="4" t="n"/>
      <c r="G8" s="4" t="n"/>
      <c r="H8" s="4" t="n"/>
    </row>
    <row r="9">
      <c r="A9" s="4" t="inlineStr">
        <is>
          <t>K-08</t>
        </is>
      </c>
      <c r="B9" s="4" t="inlineStr">
        <is>
          <t>Raw Material &amp; maklon</t>
        </is>
      </c>
      <c r="C9" s="4" t="inlineStr">
        <is>
          <t>Maklon bersifat full service: menyediakan bahan isi produk (formula/ingredients) dan memproduksi; biaya bahan isi termasuk harga jasa maklon. Raw Material yang dibeli Balans hanya packaging (Tube, Pouch, Roll Sachet), yang dikirim ke maklon dan tetap tercatat sebagai stok Balans sampai dipakai produksi.</t>
        </is>
      </c>
      <c r="D9" s="4" t="inlineStr">
        <is>
          <t>Logistik &amp; F&amp;A</t>
        </is>
      </c>
      <c r="E9" s="4" t="n"/>
      <c r="F9" s="4" t="n"/>
      <c r="G9" s="4" t="n"/>
      <c r="H9" s="4" t="n"/>
    </row>
    <row r="10">
      <c r="A10" s="4" t="inlineStr">
        <is>
          <t>K-09</t>
        </is>
      </c>
      <c r="B10" s="4" t="inlineStr">
        <is>
          <t>Ongkir di website</t>
        </is>
      </c>
      <c r="C10" s="4" t="inlineStr">
        <is>
          <t>Cek ongkir di website memakai layanan Biteship, yang mencakup JNE, Gojek, Grab, dan kurir lainnya.</t>
        </is>
      </c>
      <c r="D10" s="4" t="inlineStr">
        <is>
          <t>Sales</t>
        </is>
      </c>
      <c r="E10" s="4" t="n"/>
      <c r="F10" s="4" t="n"/>
      <c r="G10" s="4" t="n"/>
      <c r="H10" s="4" t="n"/>
    </row>
    <row r="11">
      <c r="A11" s="4" t="inlineStr">
        <is>
          <t>K-10</t>
        </is>
      </c>
      <c r="B11" s="4" t="inlineStr">
        <is>
          <t>Modern Trade beli putus</t>
        </is>
      </c>
      <c r="C11" s="4" t="inlineStr">
        <is>
          <t>Untuk Modern Trade beli putus, invoice diterbitkan saat pembayaran dari toko dikonfirmasi, dan pembayaran langsung dicatat ke invoice tersebut. Proforma Invoice dipakai sebagai permintaan pembayaran.</t>
        </is>
      </c>
      <c r="D11" s="4" t="inlineStr">
        <is>
          <t>Sales</t>
        </is>
      </c>
      <c r="E11" s="4" t="n"/>
      <c r="F11" s="4" t="n"/>
      <c r="G11" s="4" t="n"/>
      <c r="H11" s="4" t="n"/>
    </row>
    <row r="12">
      <c r="A12" s="4" t="inlineStr">
        <is>
          <t>K-11</t>
        </is>
      </c>
      <c r="B12" s="4" t="inlineStr">
        <is>
          <t>Biaya operasional &amp; kas kecil</t>
        </is>
      </c>
      <c r="C12" s="4" t="inlineStr">
        <is>
          <t>Biaya operasional di luar pembelian barang (fee endorsement, event, sewa, reimbursement) dan pengeluaran kas kecil dicatat di sistem dengan approval.</t>
        </is>
      </c>
      <c r="D12" s="4" t="inlineStr">
        <is>
          <t>Logistik &amp; F&amp;A</t>
        </is>
      </c>
      <c r="E12" s="4" t="n"/>
      <c r="F12" s="4" t="n"/>
      <c r="G12" s="4" t="n"/>
      <c r="H12" s="4" t="n"/>
    </row>
    <row r="13">
      <c r="A13" s="4" t="inlineStr">
        <is>
          <t>K-12</t>
        </is>
      </c>
      <c r="B13" s="4" t="inlineStr">
        <is>
          <t>Koreksi jurnal</t>
        </is>
      </c>
      <c r="C13" s="4" t="inlineStr">
        <is>
          <t>Jurnal yang sudah diposting tidak bisa diedit atau dihapus. Koreksi dilakukan dengan jurnal balik (reversal), sehingga riwayat perubahan tetap tercatat.</t>
        </is>
      </c>
      <c r="D13" s="4" t="inlineStr">
        <is>
          <t>Logistik &amp; F&amp;A</t>
        </is>
      </c>
      <c r="E13" s="4" t="n"/>
      <c r="F13" s="4" t="n"/>
      <c r="G13" s="4" t="n"/>
      <c r="H13" s="4" t="n"/>
    </row>
    <row r="14">
      <c r="A14" s="4" t="inlineStr">
        <is>
          <t>K-13</t>
        </is>
      </c>
      <c r="B14" s="4" t="inlineStr">
        <is>
          <t>Saldo awal &amp; tutup buku</t>
        </is>
      </c>
      <c r="C14" s="4" t="inlineStr">
        <is>
          <t>Saldo awal diinput saat mulai memakai sistem. Setiap bulan dilakukan tutup buku; periode yang sudah ditutup hanya bisa dibuka kembali dengan approval.</t>
        </is>
      </c>
      <c r="D14" s="4" t="inlineStr">
        <is>
          <t>Logistik &amp; F&amp;A</t>
        </is>
      </c>
      <c r="E14" s="4" t="n"/>
      <c r="F14" s="4" t="n"/>
      <c r="G14" s="4" t="n"/>
      <c r="H14" s="4" t="n"/>
    </row>
    <row r="15">
      <c r="A15" s="4" t="inlineStr">
        <is>
          <t>K-14</t>
        </is>
      </c>
      <c r="B15" s="4" t="inlineStr">
        <is>
          <t>Pembayaran sebagian &amp; alokasi</t>
        </is>
      </c>
      <c r="C15" s="4" t="inlineStr">
        <is>
          <t>Satu pembayaran bisa dialokasikan ke beberapa invoice, dan satu invoice bisa dibayar sebagian. Berlaku untuk customer maupun supplier.</t>
        </is>
      </c>
      <c r="D15" s="4" t="inlineStr">
        <is>
          <t>Logistik &amp; F&amp;A</t>
        </is>
      </c>
      <c r="E15" s="4" t="n"/>
      <c r="F15" s="4" t="n"/>
      <c r="G15" s="4" t="n"/>
      <c r="H15" s="4" t="n"/>
    </row>
    <row r="16">
      <c r="A16" s="4" t="inlineStr">
        <is>
          <t>K-15</t>
        </is>
      </c>
      <c r="B16" s="4" t="inlineStr">
        <is>
          <t>Retur pembelian</t>
        </is>
      </c>
      <c r="C16" s="4" t="inlineStr">
        <is>
          <t>Barang yang dikembalikan ke supplier (misalnya packaging reject) dicatat sebagai retur pembelian dengan nota debit, yang mengurangi utang ke supplier.</t>
        </is>
      </c>
      <c r="D16" s="4" t="inlineStr">
        <is>
          <t>Logistik &amp; F&amp;A</t>
        </is>
      </c>
      <c r="E16" s="4" t="n"/>
      <c r="F16" s="4" t="n"/>
      <c r="G16" s="4" t="n"/>
      <c r="H16" s="4" t="n"/>
    </row>
    <row r="17">
      <c r="A17" s="4" t="inlineStr">
        <is>
          <t>K-16</t>
        </is>
      </c>
      <c r="B17" s="4" t="inlineStr">
        <is>
          <t>Laporan akuntansi</t>
        </is>
      </c>
      <c r="C17" s="4" t="inlineStr">
        <is>
          <t>Laporan yang disediakan: Neraca Saldo (trial balance), Buku Besar detail, Neraca, Laba Rugi, Arus Kas, serta umur piutang dan utang.</t>
        </is>
      </c>
      <c r="D17" s="4" t="inlineStr">
        <is>
          <t>Logistik &amp; F&amp;A</t>
        </is>
      </c>
      <c r="E17" s="4" t="n"/>
      <c r="F17" s="4" t="n"/>
      <c r="G17" s="4" t="n"/>
      <c r="H17" s="4" t="n"/>
    </row>
  </sheetData>
  <dataValidations count="1">
    <dataValidation sqref="E2:E17" showDropDown="0" showInputMessage="0" showErrorMessage="0" allowBlank="1" type="list">
      <formula1>"Setuju,Koreksi"</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70" customWidth="1" min="3" max="3"/>
    <col width="18" customWidth="1" min="4" max="4"/>
    <col width="22" customWidth="1" min="5" max="5"/>
    <col width="10" customWidth="1" min="6" max="6"/>
    <col width="40" customWidth="1" min="7" max="7"/>
    <col width="12" customWidth="1" min="8" max="8"/>
  </cols>
  <sheetData>
    <row r="1" ht="30" customHeight="1">
      <c r="A1" s="3" t="inlineStr">
        <is>
          <t>ID</t>
        </is>
      </c>
      <c r="B1" s="3" t="inlineStr">
        <is>
          <t>Topik</t>
        </is>
      </c>
      <c r="C1" s="3" t="inlineStr">
        <is>
          <t>Usulan</t>
        </is>
      </c>
      <c r="D1" s="3" t="inlineStr">
        <is>
          <t>Requirement</t>
        </is>
      </c>
      <c r="E1" s="3" t="inlineStr">
        <is>
          <t>Rilis jika diambil</t>
        </is>
      </c>
      <c r="F1" s="3" t="inlineStr">
        <is>
          <t>Diambil?</t>
        </is>
      </c>
      <c r="G1" s="3" t="inlineStr">
        <is>
          <t>Catatan</t>
        </is>
      </c>
      <c r="H1" s="3" t="inlineStr">
        <is>
          <t>Tanggal</t>
        </is>
      </c>
    </row>
    <row r="2">
      <c r="A2" s="4" t="inlineStr">
        <is>
          <t>U-28</t>
        </is>
      </c>
      <c r="B2" s="4" t="inlineStr">
        <is>
          <t>Minimum sisa umur simpan</t>
        </is>
      </c>
      <c r="C2" s="4" t="inlineStr">
        <is>
          <t>Batas minimum sisa umur simpan per channel saat alokasi batch (awal: MT &amp; konsinyasi ≥ 6 bulan, lainnya ≥ 3 bulan)</t>
        </is>
      </c>
      <c r="D2" s="4" t="inlineStr">
        <is>
          <t>INV-10</t>
        </is>
      </c>
      <c r="E2" s="4" t="inlineStr">
        <is>
          <t>R1.2</t>
        </is>
      </c>
      <c r="F2" s="4" t="n"/>
      <c r="G2" s="4" t="n"/>
      <c r="H2" s="4" t="n"/>
    </row>
    <row r="3">
      <c r="A3" s="4" t="inlineStr">
        <is>
          <t>U-29</t>
        </is>
      </c>
      <c r="B3" s="4" t="inlineStr">
        <is>
          <t>Bundling fisik (kitting)</t>
        </is>
      </c>
      <c r="C3" s="4" t="inlineStr">
        <is>
          <t>Selain bundel virtual (#22, MD-03), sediakan perakitan paket fisik yang disimpan sebagai stok (mis. gift box)</t>
        </is>
      </c>
      <c r="D3" s="4" t="inlineStr">
        <is>
          <t>INV-11, A-28</t>
        </is>
      </c>
      <c r="E3" s="4" t="inlineStr">
        <is>
          <t>R1.2</t>
        </is>
      </c>
      <c r="F3" s="4" t="n"/>
      <c r="G3" s="4" t="n"/>
      <c r="H3" s="4" t="n"/>
    </row>
    <row r="4">
      <c r="A4" s="4" t="inlineStr">
        <is>
          <t>U-30</t>
        </is>
      </c>
      <c r="B4" s="4" t="inlineStr">
        <is>
          <t>Batas kredit &amp; termin</t>
        </is>
      </c>
      <c r="C4" s="4" t="inlineStr">
        <is>
          <t>Batas kredit dan termin per customer/partner; transaksi melewati batas butuh approval</t>
        </is>
      </c>
      <c r="D4" s="4" t="inlineStr">
        <is>
          <t>SLS-10</t>
        </is>
      </c>
      <c r="E4" s="4" t="inlineStr">
        <is>
          <t>R1.3</t>
        </is>
      </c>
      <c r="F4" s="4" t="n"/>
      <c r="G4" s="4" t="n"/>
      <c r="H4" s="4" t="n"/>
    </row>
    <row r="5">
      <c r="A5" s="4" t="inlineStr">
        <is>
          <t>U-31</t>
        </is>
      </c>
      <c r="B5" s="4" t="inlineStr">
        <is>
          <t>Kuota &amp; potong gaji karyawan</t>
        </is>
      </c>
      <c r="C5" s="4" t="inlineStr">
        <is>
          <t>Kuota pembelian harga karyawan per bulan; opsi bayar potong gaji setelah payroll aktif</t>
        </is>
      </c>
      <c r="D5" s="4" t="inlineStr">
        <is>
          <t>SLS-11, A-33</t>
        </is>
      </c>
      <c r="E5" s="4" t="inlineStr">
        <is>
          <t>Kuota R2.2; potong gaji R5.2</t>
        </is>
      </c>
      <c r="F5" s="4" t="n"/>
      <c r="G5" s="4" t="n"/>
      <c r="H5" s="4" t="n"/>
    </row>
    <row r="6">
      <c r="A6" s="4" t="inlineStr">
        <is>
          <t>U-32</t>
        </is>
      </c>
      <c r="B6" s="4" t="inlineStr">
        <is>
          <t>Biaya penempatan vending</t>
        </is>
      </c>
      <c r="C6" s="4" t="inlineStr">
        <is>
          <t>Sewa tetap, bagi hasil %, atau tanpa biaya, per mesin</t>
        </is>
      </c>
      <c r="D6" s="4" t="inlineStr">
        <is>
          <t>VND-09, A-25</t>
        </is>
      </c>
      <c r="E6" s="4" t="inlineStr">
        <is>
          <t>R2.3</t>
        </is>
      </c>
      <c r="F6" s="4" t="n"/>
      <c r="G6" s="4" t="n"/>
      <c r="H6" s="4" t="n"/>
    </row>
    <row r="7">
      <c r="A7" s="4" t="inlineStr">
        <is>
          <t>U-13 (ACC-23)</t>
        </is>
      </c>
      <c r="B7" s="4" t="inlineStr">
        <is>
          <t>Anggaran biaya per divisi</t>
        </is>
      </c>
      <c r="C7" s="4" t="inlineStr">
        <is>
          <t>Realisasi biaya vs anggaran bulanan dengan peringatan</t>
        </is>
      </c>
      <c r="D7" s="4" t="inlineStr">
        <is>
          <t>ACC-23</t>
        </is>
      </c>
      <c r="E7" s="4" t="inlineStr">
        <is>
          <t>R3.2</t>
        </is>
      </c>
      <c r="F7" s="4" t="n"/>
      <c r="G7" s="4" t="n"/>
      <c r="H7" s="4" t="n"/>
    </row>
  </sheetData>
  <dataValidations count="1">
    <dataValidation sqref="F2:F7" showDropDown="0" showInputMessage="0" showErrorMessage="0" allowBlank="1" type="list">
      <formula1>"Ya,Tidak"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16" customWidth="1" min="3" max="3"/>
    <col width="22" customWidth="1" min="4" max="4"/>
    <col width="40" customWidth="1" min="5" max="5"/>
    <col width="16" customWidth="1" min="6" max="6"/>
    <col width="12" customWidth="1" min="7" max="7"/>
  </cols>
  <sheetData>
    <row r="1" ht="30" customHeight="1">
      <c r="A1" s="3" t="inlineStr">
        <is>
          <t>Parameter</t>
        </is>
      </c>
      <c r="B1" s="3" t="inlineStr">
        <is>
          <t>Nilai awal di BRD</t>
        </is>
      </c>
      <c r="C1" s="3" t="inlineStr">
        <is>
          <t>Acuan</t>
        </is>
      </c>
      <c r="D1" s="3" t="inlineStr">
        <is>
          <t>Status</t>
        </is>
      </c>
      <c r="E1" s="3" t="inlineStr">
        <is>
          <t>Nilai pengganti</t>
        </is>
      </c>
      <c r="F1" s="3" t="inlineStr">
        <is>
          <t>PIC Balans</t>
        </is>
      </c>
      <c r="G1" s="3" t="inlineStr">
        <is>
          <t>Tanggal</t>
        </is>
      </c>
    </row>
    <row r="2">
      <c r="A2" s="4" t="inlineStr">
        <is>
          <t>Batas nominal approval PO, pengajuan biaya, pemakaian internal, penyesuaian stok, pemusnahan</t>
        </is>
      </c>
      <c r="B2" s="4" t="inlineStr">
        <is>
          <t>Sesuai matriks BRD 5.17</t>
        </is>
      </c>
      <c r="C2" s="4" t="inlineStr">
        <is>
          <t>BRD 5.17</t>
        </is>
      </c>
      <c r="D2" s="4" t="n"/>
      <c r="E2" s="4" t="n"/>
      <c r="F2" s="4" t="n"/>
      <c r="G2" s="4" t="n"/>
    </row>
    <row r="3">
      <c r="A3" s="4" t="inlineStr">
        <is>
          <t>Toleransi 3-way match</t>
        </is>
      </c>
      <c r="B3" s="4" t="inlineStr">
        <is>
          <t>0% qty, 1% harga</t>
        </is>
      </c>
      <c r="C3" s="4" t="inlineStr">
        <is>
          <t>BRD 5.2</t>
        </is>
      </c>
      <c r="D3" s="4" t="n"/>
      <c r="E3" s="4" t="n"/>
      <c r="F3" s="4" t="n"/>
      <c r="G3" s="4" t="n"/>
    </row>
    <row r="4">
      <c r="A4" s="4" t="inlineStr">
        <is>
          <t>Masa berlaku Proforma Invoice</t>
        </is>
      </c>
      <c r="B4" s="4" t="inlineStr">
        <is>
          <t>14 hari</t>
        </is>
      </c>
      <c r="C4" s="4" t="inlineStr">
        <is>
          <t>BRD 5.4</t>
        </is>
      </c>
      <c r="D4" s="4" t="n"/>
      <c r="E4" s="4" t="n"/>
      <c r="F4" s="4" t="n"/>
      <c r="G4" s="4" t="n"/>
    </row>
    <row r="5">
      <c r="A5" s="4" t="inlineStr">
        <is>
          <t>Kas kecil</t>
        </is>
      </c>
      <c r="B5" s="4" t="inlineStr">
        <is>
          <t>Plafon Rp5 jt per pemegang, maks. Rp1 jt per transaksi, isi ulang saat saldo &lt; 30% atau mingguan</t>
        </is>
      </c>
      <c r="C5" s="4" t="inlineStr">
        <is>
          <t>BRD 5.14</t>
        </is>
      </c>
      <c r="D5" s="4" t="n"/>
      <c r="E5" s="4" t="n"/>
      <c r="F5" s="4" t="n"/>
      <c r="G5" s="4" t="n"/>
    </row>
    <row r="6">
      <c r="A6" s="4" t="inlineStr">
        <is>
          <t>Diskon karyawan</t>
        </is>
      </c>
      <c r="B6" s="4" t="inlineStr">
        <is>
          <t>20% dari harga website</t>
        </is>
      </c>
      <c r="C6" s="4" t="inlineStr">
        <is>
          <t>BRD 5.13</t>
        </is>
      </c>
      <c r="D6" s="4" t="n"/>
      <c r="E6" s="4" t="n"/>
      <c r="F6" s="4" t="n"/>
      <c r="G6" s="4" t="n"/>
    </row>
    <row r="7">
      <c r="A7" s="4" t="inlineStr">
        <is>
          <t>Batas diskon manual per role</t>
        </is>
      </c>
      <c r="B7" s="4" t="inlineStr">
        <is>
          <t>Ditetapkan di workshop Sales</t>
        </is>
      </c>
      <c r="C7" s="4" t="inlineStr">
        <is>
          <t>BRD 5.18, MD-12</t>
        </is>
      </c>
      <c r="D7" s="4" t="n"/>
      <c r="E7" s="4" t="n"/>
      <c r="F7" s="4" t="n"/>
      <c r="G7" s="4" t="n"/>
    </row>
    <row r="8">
      <c r="A8" s="4" t="inlineStr">
        <is>
          <t>Target tutup buku</t>
        </is>
      </c>
      <c r="B8" s="4" t="inlineStr">
        <is>
          <t>Paling lambat hari kerja ke-10 bulan berikutnya</t>
        </is>
      </c>
      <c r="C8" s="4" t="inlineStr">
        <is>
          <t>BRD 5.15</t>
        </is>
      </c>
      <c r="D8" s="4" t="n"/>
      <c r="E8" s="4" t="n"/>
      <c r="F8" s="4" t="n"/>
      <c r="G8" s="4" t="n"/>
    </row>
    <row r="9">
      <c r="A9" s="4" t="inlineStr">
        <is>
          <t>Ketentuan selisih konsinyasi default</t>
        </is>
      </c>
      <c r="B9" s="4" t="inlineStr">
        <is>
          <t>Hilang/rusak karena partner ditagih; cacat produk/mendekati kedaluwarsa ditanggung Balans</t>
        </is>
      </c>
      <c r="C9" s="4" t="inlineStr">
        <is>
          <t>BRD 5.5</t>
        </is>
      </c>
      <c r="D9" s="4" t="n"/>
      <c r="E9" s="4" t="n"/>
      <c r="F9" s="4" t="n"/>
      <c r="G9" s="4" t="n"/>
    </row>
    <row r="10">
      <c r="A10" s="4" t="inlineStr">
        <is>
          <t>Jadwal stock count</t>
        </is>
      </c>
      <c r="B10" s="4" t="inlineStr">
        <is>
          <t>Cycle count gudang berkala; konsinyasi &amp; vending bulanan; penuh akhir tahun</t>
        </is>
      </c>
      <c r="C10" s="4" t="inlineStr">
        <is>
          <t>WMS-11, U-08</t>
        </is>
      </c>
      <c r="D10" s="4" t="n"/>
      <c r="E10" s="4" t="n"/>
      <c r="F10" s="4" t="n"/>
      <c r="G10" s="4" t="n"/>
    </row>
  </sheetData>
  <dataValidations count="1">
    <dataValidation sqref="D2:D10" showDropDown="0" showInputMessage="0" showErrorMessage="0" allowBlank="1" type="list">
      <formula1>"Nilai awal disetujui,Diganti"</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2" customWidth="1" min="5" max="5"/>
    <col width="16" customWidth="1" min="6" max="6"/>
  </cols>
  <sheetData>
    <row r="1" ht="30" customHeight="1">
      <c r="A1" s="3" t="inlineStr">
        <is>
          <t>Data / akses</t>
        </is>
      </c>
      <c r="B1" s="3" t="inlineStr">
        <is>
          <t>Dipakai untuk</t>
        </is>
      </c>
      <c r="C1" s="3" t="inlineStr">
        <is>
          <t>Status gate</t>
        </is>
      </c>
      <c r="D1" s="3" t="inlineStr">
        <is>
          <t>Status</t>
        </is>
      </c>
      <c r="E1" s="3" t="inlineStr">
        <is>
          <t>Tanggal diterima / dijadwalkan</t>
        </is>
      </c>
      <c r="F1" s="3" t="inlineStr">
        <is>
          <t>PIC Balans</t>
        </is>
      </c>
    </row>
    <row r="2">
      <c r="A2" s="4" t="inlineStr">
        <is>
          <t>Persetujuan BRD v1.0, pilihan opsional, nama approver</t>
        </is>
      </c>
      <c r="B2" s="4" t="inlineStr">
        <is>
          <t>F0-APR, F0-DSN-04</t>
        </is>
      </c>
      <c r="C2" s="4" t="inlineStr">
        <is>
          <t>Wajib exit (diterima)</t>
        </is>
      </c>
      <c r="D2" s="4" t="n"/>
      <c r="E2" s="4" t="n"/>
      <c r="F2" s="4" t="n"/>
    </row>
    <row r="3">
      <c r="A3" s="4" t="inlineStr">
        <is>
          <t>Daftar SKU, bundel, harga dasar/HET, price list yang berlaku</t>
        </is>
      </c>
      <c r="B3" s="4" t="inlineStr">
        <is>
          <t>F0-MIG-01, F0-MIG-02</t>
        </is>
      </c>
      <c r="C3" s="4" t="inlineStr">
        <is>
          <t>Wajib exit</t>
        </is>
      </c>
      <c r="D3" s="4" t="n"/>
      <c r="E3" s="4" t="n"/>
      <c r="F3" s="4" t="n"/>
    </row>
    <row r="4">
      <c r="A4" s="4" t="inlineStr">
        <is>
          <t>Daftar partner MT/konsinyasi beserta PKS</t>
        </is>
      </c>
      <c r="B4" s="4" t="inlineStr">
        <is>
          <t>F0-MIG-01, MD-07</t>
        </is>
      </c>
      <c r="C4" s="4" t="inlineStr">
        <is>
          <t>Wajib exit</t>
        </is>
      </c>
      <c r="D4" s="4" t="n"/>
      <c r="E4" s="4" t="n"/>
      <c r="F4" s="4" t="n"/>
    </row>
    <row r="5">
      <c r="A5" s="4" t="inlineStr">
        <is>
          <t>COA yang dipakai saat ini (jika ada) dan laporan keuangan terakhir</t>
        </is>
      </c>
      <c r="B5" s="4" t="inlineStr">
        <is>
          <t>F0-FIN-01</t>
        </is>
      </c>
      <c r="C5" s="4" t="inlineStr">
        <is>
          <t>Wajib exit</t>
        </is>
      </c>
      <c r="D5" s="4" t="n"/>
      <c r="E5" s="4" t="n"/>
      <c r="F5" s="4" t="n"/>
    </row>
    <row r="6">
      <c r="A6" s="4" t="inlineStr">
        <is>
          <t>Bentuk badan usaha, tahun terdaftar NPWP, status PPh Final UMKM</t>
        </is>
      </c>
      <c r="B6" s="4" t="inlineStr">
        <is>
          <t>F0-FIN-04</t>
        </is>
      </c>
      <c r="C6" s="4" t="inlineStr">
        <is>
          <t>Wajib exit (diterima)</t>
        </is>
      </c>
      <c r="D6" s="4" t="n"/>
      <c r="E6" s="4" t="n"/>
      <c r="F6" s="4" t="n"/>
    </row>
    <row r="7">
      <c r="A7" s="4" t="inlineStr">
        <is>
          <t>Alamat gudang fisik, supplier, dan maklon aktif</t>
        </is>
      </c>
      <c r="B7" s="4" t="inlineStr">
        <is>
          <t>F0-MIG-01</t>
        </is>
      </c>
      <c r="C7" s="4" t="inlineStr">
        <is>
          <t>Wajib exit</t>
        </is>
      </c>
      <c r="D7" s="4" t="n"/>
      <c r="E7" s="4" t="n"/>
      <c r="F7" s="4" t="n"/>
    </row>
    <row r="8">
      <c r="A8" s="4" t="inlineStr">
        <is>
          <t>Pemilihan provider VPS &amp; object storage; akses DNS findyourbalans.com</t>
        </is>
      </c>
      <c r="B8" s="4" t="inlineStr">
        <is>
          <t>F0-TEK-07, F0-EXT-01, F0-EXT-02</t>
        </is>
      </c>
      <c r="C8" s="4" t="inlineStr">
        <is>
          <t>Wajib exit (diterima)</t>
        </is>
      </c>
      <c r="D8" s="4" t="n"/>
      <c r="E8" s="4" t="n"/>
      <c r="F8" s="4" t="n"/>
    </row>
    <row r="9">
      <c r="A9" s="4" t="inlineStr">
        <is>
          <t>Kontak vendor vending; pemilik akun Midtrans vending</t>
        </is>
      </c>
      <c r="B9" s="4" t="inlineStr">
        <is>
          <t>F0-EXT-04, F0-EXT-05</t>
        </is>
      </c>
      <c r="C9" s="4" t="inlineStr">
        <is>
          <t>Disarankan</t>
        </is>
      </c>
      <c r="D9" s="4" t="n"/>
      <c r="E9" s="4" t="n"/>
      <c r="F9" s="4" t="n"/>
    </row>
    <row r="10">
      <c r="A10" s="4" t="inlineStr">
        <is>
          <t>Saldo stok per batch, saldo awal akuntansi, AR/AP terbuka, aset tetap</t>
        </is>
      </c>
      <c r="B10" s="4" t="inlineStr">
        <is>
          <t>Cut-over Fase 1</t>
        </is>
      </c>
      <c r="C10" s="4" t="inlineStr">
        <is>
          <t>Bukan gate Fase 0</t>
        </is>
      </c>
      <c r="D10" s="4" t="n"/>
      <c r="E10" s="4" t="n"/>
      <c r="F10" s="4" t="n"/>
    </row>
  </sheetData>
  <dataValidations count="1">
    <dataValidation sqref="D2:D10" showDropDown="0" showInputMessage="0" showErrorMessage="0" allowBlank="1" type="list">
      <formula1>"Diterima,Dijadwalkan,Belum"</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22" customWidth="1" min="3" max="3"/>
    <col width="26" customWidth="1" min="4" max="4"/>
    <col width="14" customWidth="1" min="5" max="5"/>
  </cols>
  <sheetData>
    <row r="1" ht="30" customHeight="1">
      <c r="A1" s="3" t="inlineStr">
        <is>
          <t>Kelompok</t>
        </is>
      </c>
      <c r="B1" s="3" t="inlineStr">
        <is>
          <t>Total</t>
        </is>
      </c>
      <c r="C1" s="3" t="inlineStr">
        <is>
          <t>Setuju / Ya / Diterima</t>
        </is>
      </c>
      <c r="D1" s="3" t="inlineStr">
        <is>
          <t>Koreksi / Tidak / Dijadwalkan</t>
        </is>
      </c>
      <c r="E1" s="3" t="inlineStr">
        <is>
          <t>Belum diisi</t>
        </is>
      </c>
    </row>
    <row r="2">
      <c r="A2" t="inlineStr">
        <is>
          <t>Usulan U-01 s.d. U-27</t>
        </is>
      </c>
      <c r="B2" t="n">
        <v>27</v>
      </c>
      <c r="C2">
        <f>COUNTIF('Usulan'!F2:F28,"Setuju")</f>
        <v/>
      </c>
      <c r="D2">
        <f>COUNTIF('Usulan'!F2:F28,"Koreksi")</f>
        <v/>
      </c>
      <c r="E2">
        <f>B2-C2-D2</f>
        <v/>
      </c>
    </row>
    <row r="3">
      <c r="A3" t="inlineStr">
        <is>
          <t>Pernyataan K-01 s.d. K-16</t>
        </is>
      </c>
      <c r="B3" t="n">
        <v>16</v>
      </c>
      <c r="C3">
        <f>COUNTIF('Konfirmasi'!E2:E17,"Setuju")</f>
        <v/>
      </c>
      <c r="D3">
        <f>COUNTIF('Konfirmasi'!E2:E17,"Koreksi")</f>
        <v/>
      </c>
      <c r="E3">
        <f>B3-C3-D3</f>
        <v/>
      </c>
    </row>
    <row r="4">
      <c r="A4" t="inlineStr">
        <is>
          <t>Usulan opsional</t>
        </is>
      </c>
      <c r="B4" t="n">
        <v>6</v>
      </c>
      <c r="C4">
        <f>COUNTIF('Opsional'!F2:F7,"Ya")</f>
        <v/>
      </c>
      <c r="D4">
        <f>COUNTIF('Opsional'!F2:F7,"Tidak")</f>
        <v/>
      </c>
      <c r="E4">
        <f>B4-C4-D4</f>
        <v/>
      </c>
    </row>
    <row r="5">
      <c r="A5" t="inlineStr">
        <is>
          <t>Parameter awal</t>
        </is>
      </c>
      <c r="B5" t="n">
        <v>9</v>
      </c>
      <c r="C5">
        <f>COUNTIF('Parameter'!D2:D10,"Nilai awal disetujui")</f>
        <v/>
      </c>
      <c r="D5">
        <f>COUNTIF('Parameter'!D2:D10,"Diganti")</f>
        <v/>
      </c>
      <c r="E5">
        <f>B5-C5-D5</f>
        <v/>
      </c>
    </row>
    <row r="6">
      <c r="A6" t="inlineStr">
        <is>
          <t>Data dari Balans</t>
        </is>
      </c>
      <c r="B6" t="n">
        <v>9</v>
      </c>
      <c r="C6">
        <f>COUNTIF('Data Balans'!D2:D10,"Diterima")</f>
        <v/>
      </c>
      <c r="D6">
        <f>COUNTIF('Data Balans'!D2:D10,"Dijadwalkan")</f>
        <v/>
      </c>
      <c r="E6">
        <f>B6-C6-D6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2026-10-14T02:07:36Z</dcterms:created>
  <dcterms:modified xmlns:dcterms="http://purl.org/dc/terms/" xmlns:xsi="http://www.w3.org/2001/XMLSchema-instance" xsi:type="dcterms:W3CDTF">2026-10-14T02:07:37Z</dcterms:modified>
</cp:coreProperties>
</file>
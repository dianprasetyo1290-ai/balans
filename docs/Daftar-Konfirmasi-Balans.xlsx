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tunjuk" sheetId="1" r:id="rId5"/>
    <sheet state="visible" name="Pertanyaan" sheetId="2" r:id="rId6"/>
    <sheet state="visible" name="Konfirmasi" sheetId="3" r:id="rId7"/>
    <sheet state="visible" name="Validasi Akuntansi" sheetId="4" r:id="rId8"/>
    <sheet state="visible" name="Ringkasan" sheetId="5" r:id="rId9"/>
  </sheets>
  <definedNames>
    <definedName hidden="1" localSheetId="1" name="_xlnm._FilterDatabase">Pertanyaan!$A$1:$M$24</definedName>
    <definedName hidden="1" localSheetId="2" name="_xlnm._FilterDatabase">Konfirmasi!$A$1:$I$17</definedName>
    <definedName hidden="1" localSheetId="3" name="_xlnm._FilterDatabase">'Validasi Akuntansi'!$A$1:$H$18</definedName>
  </definedNames>
  <calcPr/>
</workbook>
</file>

<file path=xl/sharedStrings.xml><?xml version="1.0" encoding="utf-8"?>
<sst xmlns="http://schemas.openxmlformats.org/spreadsheetml/2006/main" count="469" uniqueCount="341">
  <si>
    <t>Daftar Konfirmasi Kebutuhan Sistem — Balans Nutrition</t>
  </si>
  <si>
    <t>Versi 0.1 · 14 Oktober 2026</t>
  </si>
  <si>
    <t>No</t>
  </si>
  <si>
    <t>Tujuan</t>
  </si>
  <si>
    <t>Mengumpulkan jawaban dan persetujuan Balans atas hal-hal yang perlu dipastikan sebelum sistem dirancang dan dibangun.</t>
  </si>
  <si>
    <t>Sheet 'Pertanyaan'</t>
  </si>
  <si>
    <t>Pertanyaan yang perlu dijawab Balans. Mohon prioritaskan pertanyaan dengan batas waktu paling dekat dan prioritas Tinggi.</t>
  </si>
  <si>
    <t>ID</t>
  </si>
  <si>
    <t>Sheet 'Konfirmasi'</t>
  </si>
  <si>
    <t>Topik</t>
  </si>
  <si>
    <t>Hal-hal yang sudah kami pahami dari pembahasan sebelumnya. Mohon pilih Setuju / Tidak Setuju / Perlu Diskusi untuk setiap baris.</t>
  </si>
  <si>
    <t>Pernyataan</t>
  </si>
  <si>
    <t>Keterangan</t>
  </si>
  <si>
    <t>Sheet 'Validasi Akuntansi'</t>
  </si>
  <si>
    <t>Setuju?</t>
  </si>
  <si>
    <t>Area</t>
  </si>
  <si>
    <t>Usulan pencatatan jurnal otomatis untuk setiap jenis transaksi. Mohon direview oleh tim Finance &amp; Accounting Balans.</t>
  </si>
  <si>
    <t>Catatan Balans</t>
  </si>
  <si>
    <t>PIC Balans</t>
  </si>
  <si>
    <t>Pertanyaan</t>
  </si>
  <si>
    <t>Sheet 'Ringkasan'</t>
  </si>
  <si>
    <t>Tanggal</t>
  </si>
  <si>
    <t>Rekap otomatis jumlah jawaban dan persetujuan. Tidak perlu diisi.</t>
  </si>
  <si>
    <t>Konteks</t>
  </si>
  <si>
    <t>Kolom yang diisi Balans</t>
  </si>
  <si>
    <t>Opsi / Usulan</t>
  </si>
  <si>
    <t>Hanya kolom berwarna kuning. Kolom lain sudah kami isi.</t>
  </si>
  <si>
    <t>Mengapa Penting</t>
  </si>
  <si>
    <t>Pilihan Status</t>
  </si>
  <si>
    <t>Terbuka = belum dijawab · Terjawab = jawaban sudah final · Perlu Diskusi = butuh pembahasan lebih lanjut.</t>
  </si>
  <si>
    <t>Batas Waktu</t>
  </si>
  <si>
    <t>Lampiran</t>
  </si>
  <si>
    <t>K-01</t>
  </si>
  <si>
    <t>Prioritas</t>
  </si>
  <si>
    <t>Jika jawaban berupa dokumen (contoh price list, PKS, laporan rekonsiliasi, COA), sebutkan nama file di kolom Jawaban dan kirimkan bersama file ini.</t>
  </si>
  <si>
    <t>Jawaban Balans</t>
  </si>
  <si>
    <t>Contoh pengisian</t>
  </si>
  <si>
    <t>Batch &amp; tanggal kedaluwarsa</t>
  </si>
  <si>
    <t>Tanggal Dijawab</t>
  </si>
  <si>
    <t>Setiap produk dicatat per batch beserta tanggal kedaluwarsanya di seluruh pergerakan stok. Batch dan tanggal kedaluwarsa wajib diisi saat barang diterima.</t>
  </si>
  <si>
    <t>Staf gudang perlu mencatat batch dan tanggal kedaluwarsa setiap kali menerima barang.</t>
  </si>
  <si>
    <t>Status</t>
  </si>
  <si>
    <t>Kolom</t>
  </si>
  <si>
    <t>Contoh isian</t>
  </si>
  <si>
    <t>P-01</t>
  </si>
  <si>
    <t>Gudang</t>
  </si>
  <si>
    <t>Apa arti "GM" pada "Gudang GM" dan "re-processing GM jadi FG"?</t>
  </si>
  <si>
    <t>P-03</t>
  </si>
  <si>
    <t>Istilah ini muncul di catatan kebutuhan: "Raw Material, Gudang GM" dan alur retur "PO ke maklon untuk re-processing GM jadi FG".</t>
  </si>
  <si>
    <t>Transaksi</t>
  </si>
  <si>
    <t>Kemungkinan: Raw Material atau Good Material. Mohon konfirmasi kepanjangannya dan jenis barang yang disimpan di gudang tersebut.</t>
  </si>
  <si>
    <t>Debit</t>
  </si>
  <si>
    <t>Ada berapa model harga yang berlaku saat ini, dan bagaimana aturannya?</t>
  </si>
  <si>
    <t>Menentukan struktur gudang dan jenis stok yang dicatat di gudang tersebut.</t>
  </si>
  <si>
    <t>27 Nov 2026</t>
  </si>
  <si>
    <t>Kredit</t>
  </si>
  <si>
    <t>Tinggi</t>
  </si>
  <si>
    <t>Ada 4 price list: MT, marketplace, reseller, karyawan (diskon 20% dari harga marketplace). Harga promo diatur per periode. Lampiran: PriceList_Okt2026.xlsx</t>
  </si>
  <si>
    <t>asumsi kita dulu saja untuk proposed solution terbaik</t>
  </si>
  <si>
    <t>Nama (Divisi)</t>
  </si>
  <si>
    <t>20/11/2026</t>
  </si>
  <si>
    <t>Terjawab</t>
  </si>
  <si>
    <t>Contoh di atas hanya ilustrasi format pengisian.</t>
  </si>
  <si>
    <t>A-01</t>
  </si>
  <si>
    <t>Penerimaan barang/packaging dari supplier</t>
  </si>
  <si>
    <t>Persediaan</t>
  </si>
  <si>
    <t>Utang Usaha</t>
  </si>
  <si>
    <t>K-02</t>
  </si>
  <si>
    <t>Pengambilan stok FEFO</t>
  </si>
  <si>
    <t>Sistem menyarankan pengambilan batch dengan tanggal kedaluwarsa terdekat terlebih dahulu (First Expired, First Out) saat menyiapkan pesanan dan memindahkan stok.</t>
  </si>
  <si>
    <t>Mengurangi risiko produk kedaluwarsa di gudang.</t>
  </si>
  <si>
    <t>K-03</t>
  </si>
  <si>
    <t>Metode HPP</t>
  </si>
  <si>
    <t>Persediaan dinilai dengan metode FIFO (First In, First Out).</t>
  </si>
  <si>
    <t>Menjadi dasar perhitungan HPP dan jurnal.</t>
  </si>
  <si>
    <t>K-04</t>
  </si>
  <si>
    <t>Status pajak</t>
  </si>
  <si>
    <t>Balans berstatus NON-PKP dan tidak berencana menjadi PKP. Invoice diterbitkan tanpa PPN, dan fitur PPN/e-Faktur tidak disediakan.</t>
  </si>
  <si>
    <t>Jika di kemudian hari Balans menjadi PKP, fitur pajak ditambahkan sebagai pengembangan terpisah.</t>
  </si>
  <si>
    <t>K-05</t>
  </si>
  <si>
    <t>Kepemilikan stok konsinyasi &amp; vending</t>
  </si>
  <si>
    <t>Stok di lokasi konsinyasi dan di dalam vending machine tetap milik Balans sampai terjual. Mesin vending adalah milik Balans.</t>
  </si>
  <si>
    <t>Penjualan konsinyasi diakui saat rekonsiliasi; penjualan vending diakui saat transaksi di mesin.</t>
  </si>
  <si>
    <t>K-06</t>
  </si>
  <si>
    <t>Alur pembelian (procurement)</t>
  </si>
  <si>
    <t>A-02</t>
  </si>
  <si>
    <t>Alur pembelian: Purchase Request dari divisi (opsional) → PO → approval berjenjang berdasarkan nominal → penerimaan barang → tagihan supplier → pencocokan PO, penerimaan, dan tagihan → pembayaran.</t>
  </si>
  <si>
    <t>Detail approver dan batas nominal ditanyakan di P-07.</t>
  </si>
  <si>
    <t>Retur pembelian ke supplier</t>
  </si>
  <si>
    <t>K-07</t>
  </si>
  <si>
    <t>Berdasarkan nota debit.</t>
  </si>
  <si>
    <t>Gudang &amp; penerimaan barang</t>
  </si>
  <si>
    <t>Sistem mendukung lebih dari satu gudang fisik. Semua kedatangan barang (dari supplier, maklon, retur customer, dan tarikan dari lokasi konsinyasi) masuk ke Gudang Inbound terlebih dahulu.</t>
  </si>
  <si>
    <t>Daftar gudang fisik ditanyakan di P-08.</t>
  </si>
  <si>
    <t>K-08</t>
  </si>
  <si>
    <t>Raw Material &amp; maklon</t>
  </si>
  <si>
    <t>Maklon bersifat full service: menyediakan bahan isi produk (formula/ingredients) dan memproduksi; biaya bahan isi termasuk harga jasa maklon. Raw Material yang dibeli Balans hanya packaging (Tube, Pouch, Roll Sachet), yang dikirim ke maklon dan tetap tercatat sebagai stok Balans sampai dipakai produksi.</t>
  </si>
  <si>
    <t>HPP produk = packaging + jasa maklon (termasuk bahan isi) + reject/waste.</t>
  </si>
  <si>
    <t>A-03</t>
  </si>
  <si>
    <t>K-09</t>
  </si>
  <si>
    <t>Terbuka</t>
  </si>
  <si>
    <t>Ongkir di website</t>
  </si>
  <si>
    <t>Penerimaan Finished Goods dari maklon</t>
  </si>
  <si>
    <t>Cek ongkir di website memakai layanan Biteship, yang mencakup JNE, Gojek, Grab, dan kurir lainnya.</t>
  </si>
  <si>
    <t>Estimasi biaya langganan sekitar Rp149.000/bulan, ongkir dibayar sesuai tarif kurir. Akun Biteship atas nama Balans.</t>
  </si>
  <si>
    <t>Persediaan Finished Goods</t>
  </si>
  <si>
    <t>Persediaan Packaging + Utang Jasa Maklon</t>
  </si>
  <si>
    <t>P-02</t>
  </si>
  <si>
    <t>Nilai Finished Goods = packaging + jasa maklon (termasuk bahan isi).</t>
  </si>
  <si>
    <t>Konsinyasi</t>
  </si>
  <si>
    <t>K-10</t>
  </si>
  <si>
    <t>Modern Trade beli putus</t>
  </si>
  <si>
    <t>Bagaimana cara menghitung rekonsiliasi konsinyasi saat ini, dan bagaimana penanganan barang hilang/rusak di lokasi partner?</t>
  </si>
  <si>
    <t>Untuk Modern Trade beli putus, invoice diterbitkan saat pembayaran dari toko dikonfirmasi, dan pembayaran langsung dicatat ke invoice tersebut. Proforma Invoice dipakai sebagai permintaan pembayaran.</t>
  </si>
  <si>
    <t>Tidak ada pencatatan uang muka penjualan terpisah.</t>
  </si>
  <si>
    <t>Stok konsinyasi tetap milik Balans sampai terjual, dan ditagihkan setiap bulan berdasarkan hasil rekonsiliasi.</t>
  </si>
  <si>
    <t>Usulan rumus: stok awal + kiriman − sisa stok fisik = terjual.
Barang hilang/rusak: ditagihkan ke partner, ditanggung Balans, atau sesuai PKS masing-masing partner.
Mohon lampirkan contoh laporan rekonsiliasi dan PKS.</t>
  </si>
  <si>
    <t>Menentukan format rekonsiliasi, dasar penagihan konsinyasi, dan pencatatan selisih stok.</t>
  </si>
  <si>
    <t>A-04</t>
  </si>
  <si>
    <t>Reject/waste dari packaging dan hasil maklon</t>
  </si>
  <si>
    <t>HPP Finished Goods (menambah nilai per unit)</t>
  </si>
  <si>
    <t>K-11</t>
  </si>
  <si>
    <t>Biaya operasional &amp; kas kecil</t>
  </si>
  <si>
    <t>—</t>
  </si>
  <si>
    <t>Biaya operasional di luar pembelian barang (fee endorsement, event, sewa, reimbursement) dan pengeluaran kas kecil dicatat di sistem dengan approval.</t>
  </si>
  <si>
    <t>Detail proses dan approver ditanyakan di P-13.</t>
  </si>
  <si>
    <t>Biaya reject/waste dibebankan ke HPP produk yang baik.</t>
  </si>
  <si>
    <t>Harga</t>
  </si>
  <si>
    <t>A-05</t>
  </si>
  <si>
    <t>Catatan kebutuhan menyebut "ada model beberapa harga produk dan tidak tetap".</t>
  </si>
  <si>
    <t>Penjualan (Modern Trade beli putus, WA/IG, website, reseller)</t>
  </si>
  <si>
    <t>Contoh model: harga per channel (MT, marketplace, website, reseller, karyawan), harga per partner, harga promo periode tertentu, harga berdasarkan jumlah pembelian.
Mohon lampirkan price list yang berlaku.</t>
  </si>
  <si>
    <t>Menentukan struktur daftar harga dan aturan diskon.</t>
  </si>
  <si>
    <t>Piutang Usaha / Kas</t>
  </si>
  <si>
    <t>K-12</t>
  </si>
  <si>
    <t>Koreksi jurnal</t>
  </si>
  <si>
    <t>Penjualan</t>
  </si>
  <si>
    <t>Jurnal yang sudah diposting tidak bisa diedit atau dihapus. Koreksi dilakukan dengan jurnal balik (reversal), sehingga riwayat perubahan tetap tercatat.</t>
  </si>
  <si>
    <t>Menjaga jejak audit keuangan.</t>
  </si>
  <si>
    <t>P-04</t>
  </si>
  <si>
    <t>K-13</t>
  </si>
  <si>
    <t>Saldo awal &amp; tutup buku</t>
  </si>
  <si>
    <t>Diskon dicatat sebagai potongan penjualan.</t>
  </si>
  <si>
    <t>Finance &amp; Accounting</t>
  </si>
  <si>
    <t>Saldo awal diinput saat mulai memakai sistem. Setiap bulan dilakukan tutup buku; periode yang sudah ditutup hanya bisa dibuka kembali dengan approval.</t>
  </si>
  <si>
    <t>Mohon validasi usulan pencatatan akuntansi di sheet 'Validasi Akuntansi', dan lampirkan Chart of Accounts (COA) yang berlaku jika ada.</t>
  </si>
  <si>
    <t>Mencegah perubahan data pada periode yang sudah dilaporkan.</t>
  </si>
  <si>
    <t>Setiap transaksi operasional (pembelian, penjualan, konsinyasi, retur, pemakaian internal) akan otomatis menghasilkan jurnal.</t>
  </si>
  <si>
    <t>Tim Finance &amp; Accounting Balans mengisi Setuju / Tidak Setuju / Perlu Diskusi untuk setiap baris di sheet 'Validasi Akuntansi'.</t>
  </si>
  <si>
    <t>Menjadi dasar pengaturan jurnal otomatis dan COA.</t>
  </si>
  <si>
    <t>A-06</t>
  </si>
  <si>
    <t>K-14</t>
  </si>
  <si>
    <t>Pembayaran sebagian &amp; alokasi</t>
  </si>
  <si>
    <t>Pengakuan HPP atas penjualan</t>
  </si>
  <si>
    <t>Satu pembayaran bisa dialokasikan ke beberapa invoice, dan satu invoice bisa dibayar sebagian. Berlaku untuk customer maupun supplier.</t>
  </si>
  <si>
    <t>HPP</t>
  </si>
  <si>
    <t>Sisa tagihan serta umur piutang dan utang dihitung otomatis.</t>
  </si>
  <si>
    <t>P-05</t>
  </si>
  <si>
    <t>Dinilai FIFO per batch.</t>
  </si>
  <si>
    <t>Vending Machine</t>
  </si>
  <si>
    <t>K-15</t>
  </si>
  <si>
    <t>Merek/vendor vending machine apa yang dipakai? Apakah vendor menyediakan API/webhook? Berapa jumlah mesin saat ini dan rencananya?</t>
  </si>
  <si>
    <t>Retur pembelian</t>
  </si>
  <si>
    <t>Integrasi pembayaran (Midtrans) dan integrasi perangkat mesin adalah dua hal yang berbeda. Integrasi perangkat bergantung pada dokumentasi API dari vendor, sehingga vendor perlu dihubungi sejak awal.</t>
  </si>
  <si>
    <t>Barang yang dikembalikan ke supplier (misalnya packaging reject) dicatat sebagai retur pembelian dengan nota debit, yang mengurangi utang ke supplier.</t>
  </si>
  <si>
    <t>Mohon berikan kontak vendor dan dokumentasi API jika ada.</t>
  </si>
  <si>
    <t>A-07</t>
  </si>
  <si>
    <t>Melengkapi pencatatan reject/waste dari packaging.</t>
  </si>
  <si>
    <t>Menentukan apakah transaksi dan stok mesin bisa tercatat otomatis. Jika tidak ada API, pencatatan memakai data transaksi Midtrans dan input refill manual.</t>
  </si>
  <si>
    <t>Pengiriman barang konsinyasi ke partner</t>
  </si>
  <si>
    <t>Persediaan Konsinyasi</t>
  </si>
  <si>
    <t>K-16</t>
  </si>
  <si>
    <t>Belum diakui sebagai penjualan.</t>
  </si>
  <si>
    <t>Laporan akuntansi</t>
  </si>
  <si>
    <t>Laporan yang disediakan: Neraca Saldo (trial balance), Buku Besar detail, Neraca, Laba Rugi, Arus Kas, serta umur piutang dan utang.</t>
  </si>
  <si>
    <t>Pemisahan laba rugi per channel/divisi ditanyakan di P-14.</t>
  </si>
  <si>
    <t>P-06</t>
  </si>
  <si>
    <t>Selain PPN, pajak apa saja yang saat ini dipotong atau dibayar Balans, dan apakah perlu dicatat di sistem?</t>
  </si>
  <si>
    <t>Balans berstatus NON-PKP sehingga tidak memungut PPN. Namun kewajiban pajak lain bisa tetap berlaku, misalnya pemotongan PPh atas fee endorsement atau jasa.</t>
  </si>
  <si>
    <t>A-08</t>
  </si>
  <si>
    <t>Contoh: PPh 21 (karyawan, endorser perorangan), PPh 23 (jasa dari badan usaha), PPh Final atas omzet. Mohon sebutkan yang berlaku dan siapa yang mengurus pelaporannya saat ini.</t>
  </si>
  <si>
    <t>Hasil rekonsiliasi konsinyasi (barang terjual)</t>
  </si>
  <si>
    <t>Menentukan apakah sistem perlu mencatat potongan pajak dan utang pajak.</t>
  </si>
  <si>
    <t>Piutang Usaha</t>
  </si>
  <si>
    <t>HPP barang terjual diakui pada saat ini.</t>
  </si>
  <si>
    <t>P-07</t>
  </si>
  <si>
    <t>Procurement</t>
  </si>
  <si>
    <t>Siapa saja approver PO, dan berapa batas nominal untuk setiap level approval?</t>
  </si>
  <si>
    <t>A-09</t>
  </si>
  <si>
    <t>Alur pembelian mengikuti pola standar: Purchase Request (opsional) → PO → approval berjenjang berdasarkan nominal (lihat K-06).</t>
  </si>
  <si>
    <t>Penjualan vending machine via Midtrans</t>
  </si>
  <si>
    <t>Piutang Midtrans</t>
  </si>
  <si>
    <t>Contoh: PO sampai Rp10 juta disetujui Head Finance &amp; Accounting; PO di atas Rp10 juta disetujui Direksi.</t>
  </si>
  <si>
    <t>Pengaturan approval PO.</t>
  </si>
  <si>
    <t>Saat dana cair: Debit Kas/Bank + Beban Fee, Kredit Piutang Midtrans.</t>
  </si>
  <si>
    <t>Sedang</t>
  </si>
  <si>
    <t>P-08</t>
  </si>
  <si>
    <t>A-10</t>
  </si>
  <si>
    <t>Penjualan marketplace</t>
  </si>
  <si>
    <t>Berapa gudang fisik yang ada saat ini, dan lokasi apa saja di dalam masing-masing gudang?</t>
  </si>
  <si>
    <t>Sistem mendukung lebih dari satu gudang fisik (lihat K-07).</t>
  </si>
  <si>
    <t>Piutang Marketplace</t>
  </si>
  <si>
    <t>Mohon isi daftar: nama gudang fisik, alamat, dan lokasi di dalamnya (Inbound, Finished Goods, Petty Stock, Retur, Raw Material/GM).</t>
  </si>
  <si>
    <t>Pengaturan awal gudang dan pemindahan saldo stok awal.</t>
  </si>
  <si>
    <t>Saat dana cair: Debit Kas/Bank + Beban Fee Marketplace, Kredit Piutang Marketplace.</t>
  </si>
  <si>
    <t>A-11</t>
  </si>
  <si>
    <t>Pemakaian Finished Goods untuk marketing (endorsement, event, sample)</t>
  </si>
  <si>
    <t>P-09</t>
  </si>
  <si>
    <t>Beban Marketing</t>
  </si>
  <si>
    <t>Retur</t>
  </si>
  <si>
    <t>Apakah barang retur diperiksa (QC) terlebih dahulu sebelum diputuskan tindak lanjutnya? Siapa yang memutuskan?</t>
  </si>
  <si>
    <t>Dinilai sebesar HPP.</t>
  </si>
  <si>
    <t>Barang retur bisa di-repacking internal atau di-re-processing ke maklon.</t>
  </si>
  <si>
    <t>Usulan alur: terima retur → pemeriksaan → keputusan (kembali ke stok / repacking / re-processing / dimusnahkan) dengan approval.
Mohon konfirmasi juga apakah ada opsi pemusnahan.</t>
  </si>
  <si>
    <t>Menentukan alur status barang di Gudang Retur dan pencatatannya.</t>
  </si>
  <si>
    <t>A-12</t>
  </si>
  <si>
    <t>Sample produk untuk karyawan</t>
  </si>
  <si>
    <t>Beban Karyawan / Operasional</t>
  </si>
  <si>
    <t>P-10</t>
  </si>
  <si>
    <t>A-13</t>
  </si>
  <si>
    <t>Retur penjualan</t>
  </si>
  <si>
    <t>Retur Penjualan</t>
  </si>
  <si>
    <t>Barang masuk ke Persediaan Retur.</t>
  </si>
  <si>
    <t>Migrasi Data</t>
  </si>
  <si>
    <t>Data apa saja yang perlu dipindahkan ke sistem baru? Apakah transaksi historis juga perlu dipindahkan?</t>
  </si>
  <si>
    <t>Usulan: hanya data master (produk, customer, supplier, partner), saldo stok per batch, dan saldo awal akuntansi.</t>
  </si>
  <si>
    <t>A-14</t>
  </si>
  <si>
    <t>A) Data master + saldo awal saja (disarankan).
B) Ditambah transaksi historis untuk periode tertentu (mohon sebutkan periodenya).</t>
  </si>
  <si>
    <t>Selisih stock opname</t>
  </si>
  <si>
    <t>Menentukan besarnya pekerjaan pemindahan data dan jadwal peralihan ke sistem baru.</t>
  </si>
  <si>
    <t>Beban Selisih Persediaan (jika kurang)</t>
  </si>
  <si>
    <t>Persediaan (jika kurang)</t>
  </si>
  <si>
    <t>Jika lebih, jurnal dibalik. Penyesuaian memerlukan approval.</t>
  </si>
  <si>
    <t>A-15</t>
  </si>
  <si>
    <t>Pembayaran biaya operasional (fee endorsement, event, sewa, reimbursement)</t>
  </si>
  <si>
    <t>Beban sesuai jenis biaya (mis. Beban Marketing, Beban Sewa)</t>
  </si>
  <si>
    <t>P-11</t>
  </si>
  <si>
    <t>Kas/Bank atau Utang Usaha</t>
  </si>
  <si>
    <t>Akun beban mengikuti jenis biaya.</t>
  </si>
  <si>
    <t>Apakah mesin vending perlu dicatat sebagai aset tetap beserta penyusutannya di sistem?</t>
  </si>
  <si>
    <t>Mesin vending milik Balans (lihat K-05).</t>
  </si>
  <si>
    <t>A) Ya, sistem mencatat aset tetap dan penyusutan.
B) Tidak, dicatat di luar sistem.</t>
  </si>
  <si>
    <t>Jika A, lingkup fitur Finance &amp; Accounting bertambah.</t>
  </si>
  <si>
    <t>A-16</t>
  </si>
  <si>
    <t>Pengisian kas kecil</t>
  </si>
  <si>
    <t>Kas Kecil</t>
  </si>
  <si>
    <t>Kas/Bank</t>
  </si>
  <si>
    <t>P-12</t>
  </si>
  <si>
    <t>Siapa yang melakukan refill mesin: tim Balans atau partner di lokasi?</t>
  </si>
  <si>
    <t>A-17</t>
  </si>
  <si>
    <t>Stok di dalam mesin tetap milik Balans sampai terjual.</t>
  </si>
  <si>
    <t>Pengeluaran dari kas kecil</t>
  </si>
  <si>
    <t>A) Tim Balans.
B) Partner di lokasi.
C) Tergantung lokasi.</t>
  </si>
  <si>
    <t>Beban sesuai jenis biaya</t>
  </si>
  <si>
    <t>Menentukan alur pengisian stok mesin dan tanggung jawab atas selisih stok.</t>
  </si>
  <si>
    <t>Didukung bukti pengeluaran.</t>
  </si>
  <si>
    <t>partner dengan asumsi kita dulu saja untuk proposed solution terbaik</t>
  </si>
  <si>
    <t>P-13</t>
  </si>
  <si>
    <t>Nama akun bersifat usulan dan akan disesuaikan dengan Chart of Accounts Balans.</t>
  </si>
  <si>
    <t>Bagaimana proses pengeluaran biaya operasional di luar pembelian barang saat ini (fee endorsement, biaya event, sewa, reimbursement, kas kecil)? Siapa yang menyetujui?</t>
  </si>
  <si>
    <t>Biaya operasional dan kas kecil akan dicatat di sistem dengan approval (lihat K-11).</t>
  </si>
  <si>
    <t>Mohon jelaskan: jenis biaya yang rutin, apakah ada kas kecil dan berapa plafonnya, serta approver per jenis atau nominal biaya.</t>
  </si>
  <si>
    <t>Pengaturan approval biaya operasional dan kas kecil.</t>
  </si>
  <si>
    <t>P-14</t>
  </si>
  <si>
    <t>Laporan laba rugi perlu bisa dipisah berdasarkan apa saja?</t>
  </si>
  <si>
    <t>Balans menjual lewat banyak channel. Agar profitabilitas tiap channel terlihat, setiap transaksi perlu diberi penanda sejak awal.</t>
  </si>
  <si>
    <t>Boleh lebih dari satu:
A) Per channel: Modern Trade, konsinyasi, marketplace, website, WA/IG, reseller, vending.
B) Per divisi: Sales, Marketing, HRGA.
C) Per produk/kategori.
D) Per marketplace (Tokopedia, Shopee, dst.).</t>
  </si>
  <si>
    <t>Penanda perlu ditentukan sebelum sistem dipakai, karena penanda yang ditambahkan belakangan tidak berlaku untuk transaksi lama.</t>
  </si>
  <si>
    <t>P-15</t>
  </si>
  <si>
    <t>Dokumen</t>
  </si>
  <si>
    <t>Apakah sudah ada format penomoran dan template dokumen yang dipakai (PO, Surat Jalan/DO, Proforma Invoice, Invoice)?</t>
  </si>
  <si>
    <t>Format penomoran dan template cetak dokumen bisa diatur sesuai kebutuhan Balans.</t>
  </si>
  <si>
    <t>Mohon lampirkan contoh dokumen yang dipakai saat ini. Jika belum ada, kami akan mengusulkan format standar.</t>
  </si>
  <si>
    <t>Template cetak dan format penomoran dokumen.</t>
  </si>
  <si>
    <t>Rendah</t>
  </si>
  <si>
    <t>asumsi kia dulu saja untuk proposed solution terbaik</t>
  </si>
  <si>
    <t>P-16</t>
  </si>
  <si>
    <t>Website E-commerce</t>
  </si>
  <si>
    <t>Fitur apa saja yang diinginkan di website findyourbalans.com?</t>
  </si>
  <si>
    <t>Usulan fitur awal: katalog produk, keranjang, checkout, pembayaran online, cek ongkir, akun customer, voucher, harga khusus karyawan/reseller, status pesanan.</t>
  </si>
  <si>
    <t>Opsi tambahan: blog/konten, subscription (langganan produk rutin), program member/poin.</t>
  </si>
  <si>
    <t>Menentukan lingkup dan durasi pembangunan website.</t>
  </si>
  <si>
    <t>29 Mar 2027</t>
  </si>
  <si>
    <t>fitur ecommerce lengkap.</t>
  </si>
  <si>
    <t>P-17</t>
  </si>
  <si>
    <t>Payment gateway untuk website: Midtrans atau penyedia lain?</t>
  </si>
  <si>
    <t>Vending machine sudah memakai Midtrans.</t>
  </si>
  <si>
    <t>Usulan: Midtrans, agar website dan vending memakai satu penyedia.</t>
  </si>
  <si>
    <t>Integrasi pembayaran dan pencocokan dana yang masuk.</t>
  </si>
  <si>
    <t>midtrans, vending machine juga pakai midtrans.</t>
  </si>
  <si>
    <t>P-18</t>
  </si>
  <si>
    <t>Reseller</t>
  </si>
  <si>
    <t>Bagaimana alur reseller saat ini: level reseller, minimal order, cara bayar (cash/deposit/tempo), dan pengiriman?</t>
  </si>
  <si>
    <t>Reseller memakai stok Non-Ecommerce dan harga khusus.</t>
  </si>
  <si>
    <t>Mohon lampirkan ketentuan reseller yang berlaku.</t>
  </si>
  <si>
    <t>Menentukan alur dan fitur untuk reseller.</t>
  </si>
  <si>
    <t>31 Mei 2027</t>
  </si>
  <si>
    <t>Ringkasan Pertanyaan</t>
  </si>
  <si>
    <t>P-19</t>
  </si>
  <si>
    <t>Sales Pipeline</t>
  </si>
  <si>
    <t>Sales Pipeline akan dipakai untuk apa?</t>
  </si>
  <si>
    <t>Sales Pipeline mencatat calon partner/customer, tahapan negosiasi, dan aktivitas follow-up tim sales.</t>
  </si>
  <si>
    <t>A) Akuisisi partner Modern Trade/konsinyasi.
B) Akuisisi reseller.
C) Penjualan B2B/corporate.
Boleh lebih dari satu.</t>
  </si>
  <si>
    <t>Menentukan lingkup fitur Sales Pipeline.</t>
  </si>
  <si>
    <t>27 Sep 2027</t>
  </si>
  <si>
    <t>ini untuk tracking sales</t>
  </si>
  <si>
    <t>Perlu Diskusi</t>
  </si>
  <si>
    <t>Total</t>
  </si>
  <si>
    <t>% Terjawab</t>
  </si>
  <si>
    <t>P-20</t>
  </si>
  <si>
    <t>Logistik</t>
  </si>
  <si>
    <t>Selain cek ongkir di website, apakah pembuatan resi, request pickup, dan tracking pengiriman otomatis juga dibutuhkan?</t>
  </si>
  <si>
    <t>Cek ongkir di website memakai Biteship (lihat K-09).</t>
  </si>
  <si>
    <t>A) Ya, otomatis lewat Biteship.
B) Tidak, nomor resi diinput manual.</t>
  </si>
  <si>
    <t>Menentukan lingkup integrasi kurir.</t>
  </si>
  <si>
    <t>butuh.</t>
  </si>
  <si>
    <t>P-21</t>
  </si>
  <si>
    <t>Marketplace</t>
  </si>
  <si>
    <t>Untuk integrasi marketplace, apakah lebih baik terhubung langsung ke tiap marketplace atau lewat aggregator? Apakah saat ini sudah memakai aggregator?</t>
  </si>
  <si>
    <t>Sebelum integrasi, penjualan marketplace tetap bisa dicatat manual atau lewat import Excel.</t>
  </si>
  <si>
    <t>A) Langsung ke Tokopedia, TikTok Shop, Shopee, Blibli, Lazada.
B) Lewat aggregator (mohon sebutkan jika sudah ada).</t>
  </si>
  <si>
    <t>Menentukan lingkup dan biaya integrasi marketplace.</t>
  </si>
  <si>
    <t>terhubung langsung ke tiap marketplace.</t>
  </si>
  <si>
    <t>P-22</t>
  </si>
  <si>
    <t>HRIS</t>
  </si>
  <si>
    <t>Lingkup HRIS yang dibutuhkan: hanya data karyawan, atau termasuk absensi, cuti, payroll, BPJS, dan PPh 21?</t>
  </si>
  <si>
    <t>Yang sudah tercakup: data karyawan, sample karyawan, dan diskon karyawan.</t>
  </si>
  <si>
    <t>A) Cukup yang sudah tercakup.
B) HRIS lengkap.
C) Memakai aplikasi HRIS terpisah yang dihubungkan ke Finance &amp; Accounting.</t>
  </si>
  <si>
    <t>Menentukan lingkup fitur HRIS.</t>
  </si>
  <si>
    <t>Lingkup fitur HRIS lengkap sampai ke absensi.</t>
  </si>
  <si>
    <t>P-23</t>
  </si>
  <si>
    <t>Berapa jumlah karyawan saat ini?</t>
  </si>
  <si>
    <t>Dibutuhkan untuk menilai kebutuhan HRIS.</t>
  </si>
  <si>
    <t>Membantu memilih opsi HRIS.</t>
  </si>
  <si>
    <t>anggap saja 50+</t>
  </si>
  <si>
    <t>Ringkasan Konfirmasi</t>
  </si>
  <si>
    <t>Jumlah</t>
  </si>
  <si>
    <t>Setuju</t>
  </si>
  <si>
    <t>Tidak Setuju</t>
  </si>
  <si>
    <t>Belum diisi</t>
  </si>
  <si>
    <t>Ringkasan Validasi Akuntansi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</si>
</sst>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8">
    <font>
      <sz val="11.0"/>
      <color theme="1"/>
      <name val="Calibri"/>
      <scheme val="minor"/>
    </font>
    <font>
      <b/>
      <sz val="14.0"/>
      <color rgb="FF1F2A44"/>
      <name val="Arial"/>
    </font>
    <font>
      <i/>
      <sz val="9.0"/>
      <color rgb="FF595959"/>
      <name val="Arial"/>
    </font>
    <font>
      <b/>
      <sz val="10.0"/>
      <color rgb="FF000000"/>
      <name val="Arial"/>
    </font>
    <font>
      <sz val="10.0"/>
      <color rgb="FF000000"/>
      <name val="Arial"/>
    </font>
    <font>
      <b/>
      <sz val="10.0"/>
      <color rgb="FFFFFFFF"/>
      <name val="Arial"/>
    </font>
    <font>
      <b/>
      <sz val="11.0"/>
      <color rgb="FF1F2A44"/>
      <name val="Arial"/>
    </font>
    <font>
      <b/>
      <sz val="13.0"/>
      <color rgb="FF1F2A44"/>
      <name val="Arial"/>
    </font>
  </fonts>
  <fills count="5">
    <fill>
      <patternFill patternType="none"/>
    </fill>
    <fill>
      <patternFill patternType="lightGray"/>
    </fill>
    <fill>
      <patternFill patternType="solid">
        <fgColor rgb="FF1F2A44"/>
        <bgColor rgb="FF1F2A44"/>
      </patternFill>
    </fill>
    <fill>
      <patternFill patternType="solid">
        <fgColor rgb="FFFFF2CC"/>
        <bgColor rgb="FFFFF2CC"/>
      </patternFill>
    </fill>
    <fill>
      <patternFill patternType="solid">
        <fgColor rgb="FFF2F2F2"/>
        <bgColor rgb="FFF2F2F2"/>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1"/>
    </xf>
    <xf borderId="1" fillId="0" fontId="4" numFmtId="0" xfId="0" applyAlignment="1" applyBorder="1" applyFont="1">
      <alignment horizontal="center" shrinkToFit="0" vertical="top" wrapText="1"/>
    </xf>
    <xf borderId="1" fillId="0" fontId="3" numFmtId="0" xfId="0" applyAlignment="1" applyBorder="1" applyFont="1">
      <alignment horizontal="center" shrinkToFit="0" vertical="top" wrapText="1"/>
    </xf>
    <xf borderId="0" fillId="0" fontId="6" numFmtId="0" xfId="0" applyFont="1"/>
    <xf borderId="1" fillId="0" fontId="4" numFmtId="0" xfId="0" applyAlignment="1" applyBorder="1" applyFont="1">
      <alignment shrinkToFit="0" vertical="top" wrapText="1"/>
    </xf>
    <xf borderId="1" fillId="2" fontId="5" numFmtId="0" xfId="0" applyBorder="1" applyFill="1" applyFont="1"/>
    <xf borderId="1" fillId="0" fontId="3" numFmtId="0" xfId="0" applyAlignment="1" applyBorder="1" applyFont="1">
      <alignment shrinkToFit="0" vertical="top" wrapText="1"/>
    </xf>
    <xf borderId="1" fillId="3" fontId="4" numFmtId="0" xfId="0" applyAlignment="1" applyBorder="1" applyFill="1" applyFont="1">
      <alignment horizontal="center" shrinkToFit="0" vertical="top" wrapText="1"/>
    </xf>
    <xf borderId="1" fillId="3" fontId="4" numFmtId="0" xfId="0" applyAlignment="1" applyBorder="1" applyFill="1" applyFont="1">
      <alignment shrinkToFit="0" vertical="top" wrapText="1"/>
    </xf>
    <xf borderId="1" fillId="3" fontId="4" numFmtId="0" xfId="0" applyAlignment="1" applyBorder="1" applyFill="1" applyFont="1">
      <alignment readingOrder="0" shrinkToFit="0" vertical="top" wrapText="1"/>
    </xf>
    <xf borderId="1" fillId="3" fontId="4" numFmtId="164" xfId="0" applyAlignment="1" applyBorder="1" applyFill="1" applyFont="1" applyNumberFormat="1">
      <alignment horizontal="center" shrinkToFit="0" vertical="top" wrapText="1"/>
    </xf>
    <xf borderId="0" fillId="0" fontId="7" numFmtId="0" xfId="0" applyFont="1"/>
    <xf borderId="1" fillId="0" fontId="4" numFmtId="0" xfId="0" applyBorder="1" applyFont="1"/>
    <xf borderId="1" fillId="0" fontId="4" numFmtId="0" xfId="0" applyAlignment="1" applyBorder="1" applyFont="1">
      <alignment horizontal="center"/>
    </xf>
    <xf borderId="1" fillId="0" fontId="4" numFmtId="9" xfId="0" applyAlignment="1" applyBorder="1" applyFont="1" applyNumberFormat="1">
      <alignment horizontal="center"/>
    </xf>
    <xf borderId="1" fillId="4" fontId="3" numFmtId="0" xfId="0" applyBorder="1" applyFill="1" applyFont="1"/>
    <xf borderId="1" fillId="4" fontId="3" numFmtId="0" xfId="0" applyAlignment="1" applyBorder="1" applyFill="1" applyFont="1">
      <alignment horizontal="center"/>
    </xf>
    <xf borderId="1" fillId="4" fontId="3" numFmtId="9" xfId="0" applyAlignment="1" applyBorder="1" applyFill="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6.0"/>
    <col customWidth="1" min="3" max="3" width="95.0"/>
    <col customWidth="1" min="4" max="26" width="8.71"/>
  </cols>
  <sheetData>
    <row r="2">
      <c r="B2" s="1" t="s">
        <v>0</v>
      </c>
    </row>
    <row r="3">
      <c r="B3" s="2" t="s">
        <v>1</v>
      </c>
    </row>
    <row r="5">
      <c r="B5" s="3" t="s">
        <v>3</v>
      </c>
      <c r="C5" s="4" t="s">
        <v>4</v>
      </c>
    </row>
    <row r="6">
      <c r="B6" s="3" t="s">
        <v>5</v>
      </c>
      <c r="C6" s="4" t="s">
        <v>6</v>
      </c>
    </row>
    <row r="7">
      <c r="B7" s="3" t="s">
        <v>8</v>
      </c>
      <c r="C7" s="4" t="s">
        <v>10</v>
      </c>
    </row>
    <row r="8">
      <c r="B8" s="3" t="s">
        <v>13</v>
      </c>
      <c r="C8" s="4" t="s">
        <v>16</v>
      </c>
    </row>
    <row r="9">
      <c r="B9" s="3" t="s">
        <v>20</v>
      </c>
      <c r="C9" s="4" t="s">
        <v>22</v>
      </c>
    </row>
    <row r="10">
      <c r="B10" s="3" t="s">
        <v>24</v>
      </c>
      <c r="C10" s="4" t="s">
        <v>26</v>
      </c>
    </row>
    <row r="11">
      <c r="B11" s="3" t="s">
        <v>28</v>
      </c>
      <c r="C11" s="4" t="s">
        <v>29</v>
      </c>
    </row>
    <row r="12">
      <c r="B12" s="3" t="s">
        <v>31</v>
      </c>
      <c r="C12" s="4" t="s">
        <v>34</v>
      </c>
    </row>
    <row r="14">
      <c r="B14" s="8" t="s">
        <v>36</v>
      </c>
    </row>
    <row r="15">
      <c r="B15" s="10" t="s">
        <v>42</v>
      </c>
      <c r="C15" s="10" t="s">
        <v>43</v>
      </c>
    </row>
    <row r="16">
      <c r="B16" s="11" t="s">
        <v>7</v>
      </c>
      <c r="C16" s="9" t="s">
        <v>47</v>
      </c>
    </row>
    <row r="17">
      <c r="B17" s="11" t="s">
        <v>19</v>
      </c>
      <c r="C17" s="9" t="s">
        <v>52</v>
      </c>
    </row>
    <row r="18">
      <c r="B18" s="11" t="s">
        <v>35</v>
      </c>
      <c r="C18" s="13" t="s">
        <v>57</v>
      </c>
    </row>
    <row r="19">
      <c r="B19" s="11" t="s">
        <v>18</v>
      </c>
      <c r="C19" s="13" t="s">
        <v>59</v>
      </c>
    </row>
    <row r="20">
      <c r="B20" s="11" t="s">
        <v>38</v>
      </c>
      <c r="C20" s="13" t="s">
        <v>60</v>
      </c>
    </row>
    <row r="21" ht="15.75" customHeight="1">
      <c r="B21" s="11" t="s">
        <v>41</v>
      </c>
      <c r="C21" s="13" t="s">
        <v>61</v>
      </c>
    </row>
    <row r="22" ht="15.75" customHeight="1">
      <c r="B22" s="2" t="s">
        <v>62</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5.0"/>
    <col customWidth="1" min="2" max="2" width="7.0"/>
    <col customWidth="1" min="3" max="3" width="16.0"/>
    <col customWidth="1" min="4" max="5" width="40.0"/>
    <col customWidth="1" min="6" max="6" width="42.0"/>
    <col customWidth="1" min="7" max="7" width="32.0"/>
    <col customWidth="1" min="8" max="8" width="13.0"/>
    <col customWidth="1" min="9" max="9" width="10.0"/>
    <col customWidth="1" min="10" max="10" width="45.0"/>
    <col customWidth="1" min="11" max="11" width="16.0"/>
    <col customWidth="1" min="12" max="13" width="14.0"/>
    <col customWidth="1" min="14" max="26" width="8.71"/>
  </cols>
  <sheetData>
    <row r="1" ht="30.0" customHeight="1">
      <c r="A1" s="5" t="s">
        <v>2</v>
      </c>
      <c r="B1" s="5" t="s">
        <v>7</v>
      </c>
      <c r="C1" s="5" t="s">
        <v>15</v>
      </c>
      <c r="D1" s="5" t="s">
        <v>19</v>
      </c>
      <c r="E1" s="5" t="s">
        <v>23</v>
      </c>
      <c r="F1" s="5" t="s">
        <v>25</v>
      </c>
      <c r="G1" s="5" t="s">
        <v>27</v>
      </c>
      <c r="H1" s="5" t="s">
        <v>30</v>
      </c>
      <c r="I1" s="5" t="s">
        <v>33</v>
      </c>
      <c r="J1" s="5" t="s">
        <v>35</v>
      </c>
      <c r="K1" s="5" t="s">
        <v>18</v>
      </c>
      <c r="L1" s="5" t="s">
        <v>38</v>
      </c>
      <c r="M1" s="5" t="s">
        <v>41</v>
      </c>
    </row>
    <row r="2">
      <c r="A2" s="6">
        <v>1.0</v>
      </c>
      <c r="B2" s="7" t="s">
        <v>44</v>
      </c>
      <c r="C2" s="9" t="s">
        <v>45</v>
      </c>
      <c r="D2" s="9" t="s">
        <v>46</v>
      </c>
      <c r="E2" s="9" t="s">
        <v>48</v>
      </c>
      <c r="F2" s="9" t="s">
        <v>50</v>
      </c>
      <c r="G2" s="9" t="s">
        <v>53</v>
      </c>
      <c r="H2" s="6" t="s">
        <v>54</v>
      </c>
      <c r="I2" s="6" t="s">
        <v>56</v>
      </c>
      <c r="J2" s="14" t="s">
        <v>58</v>
      </c>
      <c r="K2" s="13"/>
      <c r="L2" s="15"/>
      <c r="M2" s="12" t="s">
        <v>100</v>
      </c>
    </row>
    <row r="3">
      <c r="A3" s="6">
        <v>2.0</v>
      </c>
      <c r="B3" s="7" t="s">
        <v>107</v>
      </c>
      <c r="C3" s="9" t="s">
        <v>109</v>
      </c>
      <c r="D3" s="9" t="s">
        <v>112</v>
      </c>
      <c r="E3" s="9" t="s">
        <v>115</v>
      </c>
      <c r="F3" s="9" t="s">
        <v>116</v>
      </c>
      <c r="G3" s="9" t="s">
        <v>117</v>
      </c>
      <c r="H3" s="6" t="s">
        <v>54</v>
      </c>
      <c r="I3" s="6" t="s">
        <v>56</v>
      </c>
      <c r="J3" s="14" t="s">
        <v>58</v>
      </c>
      <c r="K3" s="13"/>
      <c r="L3" s="15"/>
      <c r="M3" s="12" t="s">
        <v>100</v>
      </c>
    </row>
    <row r="4">
      <c r="A4" s="6">
        <v>3.0</v>
      </c>
      <c r="B4" s="7" t="s">
        <v>47</v>
      </c>
      <c r="C4" s="9" t="s">
        <v>127</v>
      </c>
      <c r="D4" s="9" t="s">
        <v>52</v>
      </c>
      <c r="E4" s="9" t="s">
        <v>129</v>
      </c>
      <c r="F4" s="9" t="s">
        <v>131</v>
      </c>
      <c r="G4" s="9" t="s">
        <v>132</v>
      </c>
      <c r="H4" s="6" t="s">
        <v>54</v>
      </c>
      <c r="I4" s="6" t="s">
        <v>56</v>
      </c>
      <c r="J4" s="14" t="s">
        <v>58</v>
      </c>
      <c r="K4" s="13"/>
      <c r="L4" s="15"/>
      <c r="M4" s="12" t="s">
        <v>100</v>
      </c>
    </row>
    <row r="5">
      <c r="A5" s="6">
        <v>4.0</v>
      </c>
      <c r="B5" s="7" t="s">
        <v>139</v>
      </c>
      <c r="C5" s="9" t="s">
        <v>143</v>
      </c>
      <c r="D5" s="9" t="s">
        <v>145</v>
      </c>
      <c r="E5" s="9" t="s">
        <v>147</v>
      </c>
      <c r="F5" s="9" t="s">
        <v>148</v>
      </c>
      <c r="G5" s="9" t="s">
        <v>149</v>
      </c>
      <c r="H5" s="6" t="s">
        <v>54</v>
      </c>
      <c r="I5" s="6" t="s">
        <v>56</v>
      </c>
      <c r="J5" s="14" t="s">
        <v>58</v>
      </c>
      <c r="K5" s="13"/>
      <c r="L5" s="15"/>
      <c r="M5" s="12" t="s">
        <v>100</v>
      </c>
    </row>
    <row r="6">
      <c r="A6" s="6">
        <v>5.0</v>
      </c>
      <c r="B6" s="7" t="s">
        <v>157</v>
      </c>
      <c r="C6" s="9" t="s">
        <v>159</v>
      </c>
      <c r="D6" s="9" t="s">
        <v>161</v>
      </c>
      <c r="E6" s="9" t="s">
        <v>163</v>
      </c>
      <c r="F6" s="9" t="s">
        <v>165</v>
      </c>
      <c r="G6" s="9" t="s">
        <v>168</v>
      </c>
      <c r="H6" s="6" t="s">
        <v>54</v>
      </c>
      <c r="I6" s="6" t="s">
        <v>56</v>
      </c>
      <c r="J6" s="14" t="s">
        <v>58</v>
      </c>
      <c r="K6" s="13"/>
      <c r="L6" s="15"/>
      <c r="M6" s="12" t="s">
        <v>100</v>
      </c>
    </row>
    <row r="7">
      <c r="A7" s="6">
        <v>6.0</v>
      </c>
      <c r="B7" s="7" t="s">
        <v>176</v>
      </c>
      <c r="C7" s="9" t="s">
        <v>143</v>
      </c>
      <c r="D7" s="9" t="s">
        <v>177</v>
      </c>
      <c r="E7" s="9" t="s">
        <v>178</v>
      </c>
      <c r="F7" s="9" t="s">
        <v>180</v>
      </c>
      <c r="G7" s="9" t="s">
        <v>182</v>
      </c>
      <c r="H7" s="6" t="s">
        <v>54</v>
      </c>
      <c r="I7" s="6" t="s">
        <v>56</v>
      </c>
      <c r="J7" s="14" t="s">
        <v>58</v>
      </c>
      <c r="K7" s="13"/>
      <c r="L7" s="15"/>
      <c r="M7" s="12" t="s">
        <v>100</v>
      </c>
    </row>
    <row r="8">
      <c r="A8" s="6">
        <v>7.0</v>
      </c>
      <c r="B8" s="7" t="s">
        <v>185</v>
      </c>
      <c r="C8" s="9" t="s">
        <v>186</v>
      </c>
      <c r="D8" s="9" t="s">
        <v>187</v>
      </c>
      <c r="E8" s="9" t="s">
        <v>189</v>
      </c>
      <c r="F8" s="9" t="s">
        <v>192</v>
      </c>
      <c r="G8" s="9" t="s">
        <v>193</v>
      </c>
      <c r="H8" s="6" t="s">
        <v>54</v>
      </c>
      <c r="I8" s="6" t="s">
        <v>195</v>
      </c>
      <c r="J8" s="14" t="s">
        <v>58</v>
      </c>
      <c r="K8" s="13"/>
      <c r="L8" s="15"/>
      <c r="M8" s="12" t="s">
        <v>100</v>
      </c>
    </row>
    <row r="9">
      <c r="A9" s="6">
        <v>8.0</v>
      </c>
      <c r="B9" s="7" t="s">
        <v>196</v>
      </c>
      <c r="C9" s="9" t="s">
        <v>45</v>
      </c>
      <c r="D9" s="9" t="s">
        <v>199</v>
      </c>
      <c r="E9" s="9" t="s">
        <v>200</v>
      </c>
      <c r="F9" s="9" t="s">
        <v>202</v>
      </c>
      <c r="G9" s="9" t="s">
        <v>203</v>
      </c>
      <c r="H9" s="6" t="s">
        <v>54</v>
      </c>
      <c r="I9" s="6" t="s">
        <v>195</v>
      </c>
      <c r="J9" s="14" t="s">
        <v>58</v>
      </c>
      <c r="K9" s="13"/>
      <c r="L9" s="15"/>
      <c r="M9" s="12" t="s">
        <v>100</v>
      </c>
    </row>
    <row r="10">
      <c r="A10" s="6">
        <v>9.0</v>
      </c>
      <c r="B10" s="7" t="s">
        <v>207</v>
      </c>
      <c r="C10" s="9" t="s">
        <v>209</v>
      </c>
      <c r="D10" s="9" t="s">
        <v>210</v>
      </c>
      <c r="E10" s="9" t="s">
        <v>212</v>
      </c>
      <c r="F10" s="9" t="s">
        <v>213</v>
      </c>
      <c r="G10" s="9" t="s">
        <v>214</v>
      </c>
      <c r="H10" s="6" t="s">
        <v>54</v>
      </c>
      <c r="I10" s="6" t="s">
        <v>195</v>
      </c>
      <c r="J10" s="14" t="s">
        <v>58</v>
      </c>
      <c r="K10" s="13"/>
      <c r="L10" s="15"/>
      <c r="M10" s="12" t="s">
        <v>100</v>
      </c>
    </row>
    <row r="11">
      <c r="A11" s="6">
        <v>10.0</v>
      </c>
      <c r="B11" s="7" t="s">
        <v>218</v>
      </c>
      <c r="C11" s="9" t="s">
        <v>223</v>
      </c>
      <c r="D11" s="9" t="s">
        <v>224</v>
      </c>
      <c r="E11" s="9" t="s">
        <v>225</v>
      </c>
      <c r="F11" s="9" t="s">
        <v>227</v>
      </c>
      <c r="G11" s="9" t="s">
        <v>229</v>
      </c>
      <c r="H11" s="6" t="s">
        <v>54</v>
      </c>
      <c r="I11" s="6" t="s">
        <v>195</v>
      </c>
      <c r="J11" s="14" t="s">
        <v>58</v>
      </c>
      <c r="K11" s="13"/>
      <c r="L11" s="15"/>
      <c r="M11" s="12" t="s">
        <v>100</v>
      </c>
    </row>
    <row r="12">
      <c r="A12" s="6">
        <v>11.0</v>
      </c>
      <c r="B12" s="7" t="s">
        <v>236</v>
      </c>
      <c r="C12" s="9" t="s">
        <v>143</v>
      </c>
      <c r="D12" s="9" t="s">
        <v>239</v>
      </c>
      <c r="E12" s="9" t="s">
        <v>240</v>
      </c>
      <c r="F12" s="9" t="s">
        <v>241</v>
      </c>
      <c r="G12" s="9" t="s">
        <v>242</v>
      </c>
      <c r="H12" s="6" t="s">
        <v>54</v>
      </c>
      <c r="I12" s="6" t="s">
        <v>195</v>
      </c>
      <c r="J12" s="14" t="s">
        <v>58</v>
      </c>
      <c r="K12" s="13"/>
      <c r="L12" s="15"/>
      <c r="M12" s="12" t="s">
        <v>100</v>
      </c>
    </row>
    <row r="13">
      <c r="A13" s="6">
        <v>12.0</v>
      </c>
      <c r="B13" s="7" t="s">
        <v>247</v>
      </c>
      <c r="C13" s="9" t="s">
        <v>159</v>
      </c>
      <c r="D13" s="9" t="s">
        <v>248</v>
      </c>
      <c r="E13" s="9" t="s">
        <v>250</v>
      </c>
      <c r="F13" s="9" t="s">
        <v>252</v>
      </c>
      <c r="G13" s="9" t="s">
        <v>254</v>
      </c>
      <c r="H13" s="6" t="s">
        <v>54</v>
      </c>
      <c r="I13" s="6" t="s">
        <v>195</v>
      </c>
      <c r="J13" s="14" t="s">
        <v>256</v>
      </c>
      <c r="K13" s="13"/>
      <c r="L13" s="15"/>
      <c r="M13" s="12" t="s">
        <v>100</v>
      </c>
    </row>
    <row r="14">
      <c r="A14" s="6">
        <v>13.0</v>
      </c>
      <c r="B14" s="7" t="s">
        <v>257</v>
      </c>
      <c r="C14" s="9" t="s">
        <v>143</v>
      </c>
      <c r="D14" s="9" t="s">
        <v>259</v>
      </c>
      <c r="E14" s="9" t="s">
        <v>260</v>
      </c>
      <c r="F14" s="9" t="s">
        <v>261</v>
      </c>
      <c r="G14" s="9" t="s">
        <v>262</v>
      </c>
      <c r="H14" s="6" t="s">
        <v>54</v>
      </c>
      <c r="I14" s="6" t="s">
        <v>195</v>
      </c>
      <c r="J14" s="14" t="s">
        <v>58</v>
      </c>
      <c r="K14" s="13"/>
      <c r="L14" s="15"/>
      <c r="M14" s="12" t="s">
        <v>100</v>
      </c>
    </row>
    <row r="15">
      <c r="A15" s="6">
        <v>14.0</v>
      </c>
      <c r="B15" s="7" t="s">
        <v>263</v>
      </c>
      <c r="C15" s="9" t="s">
        <v>143</v>
      </c>
      <c r="D15" s="9" t="s">
        <v>264</v>
      </c>
      <c r="E15" s="9" t="s">
        <v>265</v>
      </c>
      <c r="F15" s="9" t="s">
        <v>266</v>
      </c>
      <c r="G15" s="9" t="s">
        <v>267</v>
      </c>
      <c r="H15" s="6" t="s">
        <v>54</v>
      </c>
      <c r="I15" s="6" t="s">
        <v>195</v>
      </c>
      <c r="J15" s="14" t="s">
        <v>58</v>
      </c>
      <c r="K15" s="13"/>
      <c r="L15" s="15"/>
      <c r="M15" s="12" t="s">
        <v>100</v>
      </c>
    </row>
    <row r="16">
      <c r="A16" s="6">
        <v>15.0</v>
      </c>
      <c r="B16" s="7" t="s">
        <v>268</v>
      </c>
      <c r="C16" s="9" t="s">
        <v>269</v>
      </c>
      <c r="D16" s="9" t="s">
        <v>270</v>
      </c>
      <c r="E16" s="9" t="s">
        <v>271</v>
      </c>
      <c r="F16" s="9" t="s">
        <v>272</v>
      </c>
      <c r="G16" s="9" t="s">
        <v>273</v>
      </c>
      <c r="H16" s="6" t="s">
        <v>54</v>
      </c>
      <c r="I16" s="6" t="s">
        <v>274</v>
      </c>
      <c r="J16" s="14" t="s">
        <v>275</v>
      </c>
      <c r="K16" s="13"/>
      <c r="L16" s="15"/>
      <c r="M16" s="12" t="s">
        <v>100</v>
      </c>
    </row>
    <row r="17">
      <c r="A17" s="6">
        <v>16.0</v>
      </c>
      <c r="B17" s="7" t="s">
        <v>276</v>
      </c>
      <c r="C17" s="9" t="s">
        <v>277</v>
      </c>
      <c r="D17" s="9" t="s">
        <v>278</v>
      </c>
      <c r="E17" s="9" t="s">
        <v>279</v>
      </c>
      <c r="F17" s="9" t="s">
        <v>280</v>
      </c>
      <c r="G17" s="9" t="s">
        <v>281</v>
      </c>
      <c r="H17" s="6" t="s">
        <v>282</v>
      </c>
      <c r="I17" s="6" t="s">
        <v>195</v>
      </c>
      <c r="J17" s="14" t="s">
        <v>283</v>
      </c>
      <c r="K17" s="13"/>
      <c r="L17" s="15"/>
      <c r="M17" s="12" t="s">
        <v>100</v>
      </c>
    </row>
    <row r="18">
      <c r="A18" s="6">
        <v>17.0</v>
      </c>
      <c r="B18" s="7" t="s">
        <v>284</v>
      </c>
      <c r="C18" s="9" t="s">
        <v>277</v>
      </c>
      <c r="D18" s="9" t="s">
        <v>285</v>
      </c>
      <c r="E18" s="9" t="s">
        <v>286</v>
      </c>
      <c r="F18" s="9" t="s">
        <v>287</v>
      </c>
      <c r="G18" s="9" t="s">
        <v>288</v>
      </c>
      <c r="H18" s="6" t="s">
        <v>282</v>
      </c>
      <c r="I18" s="6" t="s">
        <v>195</v>
      </c>
      <c r="J18" s="14" t="s">
        <v>289</v>
      </c>
      <c r="K18" s="13"/>
      <c r="L18" s="15"/>
      <c r="M18" s="12" t="s">
        <v>100</v>
      </c>
    </row>
    <row r="19">
      <c r="A19" s="6">
        <v>18.0</v>
      </c>
      <c r="B19" s="7" t="s">
        <v>290</v>
      </c>
      <c r="C19" s="9" t="s">
        <v>291</v>
      </c>
      <c r="D19" s="9" t="s">
        <v>292</v>
      </c>
      <c r="E19" s="9" t="s">
        <v>293</v>
      </c>
      <c r="F19" s="9" t="s">
        <v>294</v>
      </c>
      <c r="G19" s="9" t="s">
        <v>295</v>
      </c>
      <c r="H19" s="6" t="s">
        <v>296</v>
      </c>
      <c r="I19" s="6" t="s">
        <v>195</v>
      </c>
      <c r="J19" s="14" t="s">
        <v>275</v>
      </c>
      <c r="K19" s="13"/>
      <c r="L19" s="15"/>
      <c r="M19" s="12" t="s">
        <v>100</v>
      </c>
    </row>
    <row r="20">
      <c r="A20" s="6">
        <v>19.0</v>
      </c>
      <c r="B20" s="7" t="s">
        <v>298</v>
      </c>
      <c r="C20" s="9" t="s">
        <v>299</v>
      </c>
      <c r="D20" s="9" t="s">
        <v>300</v>
      </c>
      <c r="E20" s="9" t="s">
        <v>301</v>
      </c>
      <c r="F20" s="9" t="s">
        <v>302</v>
      </c>
      <c r="G20" s="9" t="s">
        <v>303</v>
      </c>
      <c r="H20" s="6" t="s">
        <v>304</v>
      </c>
      <c r="I20" s="6" t="s">
        <v>274</v>
      </c>
      <c r="J20" s="14" t="s">
        <v>305</v>
      </c>
      <c r="K20" s="13"/>
      <c r="L20" s="15"/>
      <c r="M20" s="12" t="s">
        <v>100</v>
      </c>
    </row>
    <row r="21" ht="15.75" customHeight="1">
      <c r="A21" s="6">
        <v>20.0</v>
      </c>
      <c r="B21" s="7" t="s">
        <v>309</v>
      </c>
      <c r="C21" s="9" t="s">
        <v>310</v>
      </c>
      <c r="D21" s="9" t="s">
        <v>311</v>
      </c>
      <c r="E21" s="9" t="s">
        <v>312</v>
      </c>
      <c r="F21" s="9" t="s">
        <v>313</v>
      </c>
      <c r="G21" s="9" t="s">
        <v>314</v>
      </c>
      <c r="H21" s="6" t="s">
        <v>304</v>
      </c>
      <c r="I21" s="6" t="s">
        <v>274</v>
      </c>
      <c r="J21" s="14" t="s">
        <v>315</v>
      </c>
      <c r="K21" s="13"/>
      <c r="L21" s="15"/>
      <c r="M21" s="12" t="s">
        <v>100</v>
      </c>
    </row>
    <row r="22" ht="15.75" customHeight="1">
      <c r="A22" s="6">
        <v>21.0</v>
      </c>
      <c r="B22" s="7" t="s">
        <v>316</v>
      </c>
      <c r="C22" s="9" t="s">
        <v>317</v>
      </c>
      <c r="D22" s="9" t="s">
        <v>318</v>
      </c>
      <c r="E22" s="9" t="s">
        <v>319</v>
      </c>
      <c r="F22" s="9" t="s">
        <v>320</v>
      </c>
      <c r="G22" s="9" t="s">
        <v>321</v>
      </c>
      <c r="H22" s="6" t="s">
        <v>304</v>
      </c>
      <c r="I22" s="6" t="s">
        <v>274</v>
      </c>
      <c r="J22" s="14" t="s">
        <v>322</v>
      </c>
      <c r="K22" s="13"/>
      <c r="L22" s="15"/>
      <c r="M22" s="12" t="s">
        <v>100</v>
      </c>
    </row>
    <row r="23" ht="15.75" customHeight="1">
      <c r="A23" s="6">
        <v>22.0</v>
      </c>
      <c r="B23" s="7" t="s">
        <v>323</v>
      </c>
      <c r="C23" s="9" t="s">
        <v>324</v>
      </c>
      <c r="D23" s="9" t="s">
        <v>325</v>
      </c>
      <c r="E23" s="9" t="s">
        <v>326</v>
      </c>
      <c r="F23" s="9" t="s">
        <v>327</v>
      </c>
      <c r="G23" s="9" t="s">
        <v>328</v>
      </c>
      <c r="H23" s="6" t="s">
        <v>304</v>
      </c>
      <c r="I23" s="6" t="s">
        <v>274</v>
      </c>
      <c r="J23" s="14" t="s">
        <v>329</v>
      </c>
      <c r="K23" s="13"/>
      <c r="L23" s="15"/>
      <c r="M23" s="12" t="s">
        <v>100</v>
      </c>
    </row>
    <row r="24" ht="15.75" customHeight="1">
      <c r="A24" s="6">
        <v>23.0</v>
      </c>
      <c r="B24" s="7" t="s">
        <v>330</v>
      </c>
      <c r="C24" s="9" t="s">
        <v>324</v>
      </c>
      <c r="D24" s="9" t="s">
        <v>331</v>
      </c>
      <c r="E24" s="9" t="s">
        <v>332</v>
      </c>
      <c r="F24" s="9"/>
      <c r="G24" s="9" t="s">
        <v>333</v>
      </c>
      <c r="H24" s="6" t="s">
        <v>304</v>
      </c>
      <c r="I24" s="6" t="s">
        <v>274</v>
      </c>
      <c r="J24" s="14" t="s">
        <v>334</v>
      </c>
      <c r="K24" s="13"/>
      <c r="L24" s="15"/>
      <c r="M24" s="12" t="s">
        <v>100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24"/>
  <dataValidations>
    <dataValidation type="list" allowBlank="1" sqref="M2:M24">
      <formula1>"Terbuka,Terjawab,Perlu Diskusi"</formula1>
    </dataValidation>
    <dataValidation type="date" operator="greaterThan" allowBlank="1" sqref="L2:L24">
      <formula1>DATE(2026,1,1)</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5.0"/>
    <col customWidth="1" min="2" max="2" width="7.0"/>
    <col customWidth="1" min="3" max="3" width="26.0"/>
    <col customWidth="1" min="4" max="4" width="64.0"/>
    <col customWidth="1" min="5" max="5" width="40.0"/>
    <col customWidth="1" min="6" max="6" width="15.0"/>
    <col customWidth="1" min="7" max="7" width="40.0"/>
    <col customWidth="1" min="8" max="8" width="16.0"/>
    <col customWidth="1" min="9" max="9" width="14.0"/>
    <col customWidth="1" min="10" max="26" width="8.71"/>
  </cols>
  <sheetData>
    <row r="1" ht="30.0" customHeight="1">
      <c r="A1" s="5" t="s">
        <v>2</v>
      </c>
      <c r="B1" s="5" t="s">
        <v>7</v>
      </c>
      <c r="C1" s="5" t="s">
        <v>9</v>
      </c>
      <c r="D1" s="5" t="s">
        <v>11</v>
      </c>
      <c r="E1" s="5" t="s">
        <v>12</v>
      </c>
      <c r="F1" s="5" t="s">
        <v>14</v>
      </c>
      <c r="G1" s="5" t="s">
        <v>17</v>
      </c>
      <c r="H1" s="5" t="s">
        <v>18</v>
      </c>
      <c r="I1" s="5" t="s">
        <v>21</v>
      </c>
    </row>
    <row r="2">
      <c r="A2" s="6">
        <v>1.0</v>
      </c>
      <c r="B2" s="7" t="s">
        <v>32</v>
      </c>
      <c r="C2" s="9" t="s">
        <v>37</v>
      </c>
      <c r="D2" s="9" t="s">
        <v>39</v>
      </c>
      <c r="E2" s="9" t="s">
        <v>40</v>
      </c>
      <c r="F2" s="12"/>
      <c r="G2" s="13"/>
      <c r="H2" s="13"/>
      <c r="I2" s="15"/>
    </row>
    <row r="3">
      <c r="A3" s="6">
        <v>2.0</v>
      </c>
      <c r="B3" s="7" t="s">
        <v>67</v>
      </c>
      <c r="C3" s="9" t="s">
        <v>68</v>
      </c>
      <c r="D3" s="9" t="s">
        <v>69</v>
      </c>
      <c r="E3" s="9" t="s">
        <v>70</v>
      </c>
      <c r="F3" s="12"/>
      <c r="G3" s="13"/>
      <c r="H3" s="13"/>
      <c r="I3" s="15"/>
    </row>
    <row r="4">
      <c r="A4" s="6">
        <v>3.0</v>
      </c>
      <c r="B4" s="7" t="s">
        <v>71</v>
      </c>
      <c r="C4" s="9" t="s">
        <v>72</v>
      </c>
      <c r="D4" s="9" t="s">
        <v>73</v>
      </c>
      <c r="E4" s="9" t="s">
        <v>74</v>
      </c>
      <c r="F4" s="12"/>
      <c r="G4" s="13"/>
      <c r="H4" s="13"/>
      <c r="I4" s="15"/>
    </row>
    <row r="5">
      <c r="A5" s="6">
        <v>4.0</v>
      </c>
      <c r="B5" s="7" t="s">
        <v>75</v>
      </c>
      <c r="C5" s="9" t="s">
        <v>76</v>
      </c>
      <c r="D5" s="9" t="s">
        <v>77</v>
      </c>
      <c r="E5" s="9" t="s">
        <v>78</v>
      </c>
      <c r="F5" s="12"/>
      <c r="G5" s="13"/>
      <c r="H5" s="13"/>
      <c r="I5" s="15"/>
    </row>
    <row r="6">
      <c r="A6" s="6">
        <v>5.0</v>
      </c>
      <c r="B6" s="7" t="s">
        <v>79</v>
      </c>
      <c r="C6" s="9" t="s">
        <v>80</v>
      </c>
      <c r="D6" s="9" t="s">
        <v>81</v>
      </c>
      <c r="E6" s="9" t="s">
        <v>82</v>
      </c>
      <c r="F6" s="12"/>
      <c r="G6" s="13"/>
      <c r="H6" s="13"/>
      <c r="I6" s="15"/>
    </row>
    <row r="7">
      <c r="A7" s="6">
        <v>6.0</v>
      </c>
      <c r="B7" s="7" t="s">
        <v>83</v>
      </c>
      <c r="C7" s="9" t="s">
        <v>84</v>
      </c>
      <c r="D7" s="9" t="s">
        <v>86</v>
      </c>
      <c r="E7" s="9" t="s">
        <v>87</v>
      </c>
      <c r="F7" s="12"/>
      <c r="G7" s="13"/>
      <c r="H7" s="13"/>
      <c r="I7" s="15"/>
    </row>
    <row r="8">
      <c r="A8" s="6">
        <v>7.0</v>
      </c>
      <c r="B8" s="7" t="s">
        <v>89</v>
      </c>
      <c r="C8" s="9" t="s">
        <v>91</v>
      </c>
      <c r="D8" s="9" t="s">
        <v>92</v>
      </c>
      <c r="E8" s="9" t="s">
        <v>93</v>
      </c>
      <c r="F8" s="12"/>
      <c r="G8" s="13"/>
      <c r="H8" s="13"/>
      <c r="I8" s="15"/>
    </row>
    <row r="9">
      <c r="A9" s="6">
        <v>8.0</v>
      </c>
      <c r="B9" s="7" t="s">
        <v>94</v>
      </c>
      <c r="C9" s="9" t="s">
        <v>95</v>
      </c>
      <c r="D9" s="9" t="s">
        <v>96</v>
      </c>
      <c r="E9" s="9" t="s">
        <v>97</v>
      </c>
      <c r="F9" s="12"/>
      <c r="G9" s="13"/>
      <c r="H9" s="13"/>
      <c r="I9" s="15"/>
    </row>
    <row r="10">
      <c r="A10" s="6">
        <v>9.0</v>
      </c>
      <c r="B10" s="7" t="s">
        <v>99</v>
      </c>
      <c r="C10" s="9" t="s">
        <v>101</v>
      </c>
      <c r="D10" s="9" t="s">
        <v>103</v>
      </c>
      <c r="E10" s="9" t="s">
        <v>104</v>
      </c>
      <c r="F10" s="12"/>
      <c r="G10" s="13"/>
      <c r="H10" s="13"/>
      <c r="I10" s="15"/>
    </row>
    <row r="11">
      <c r="A11" s="6">
        <v>10.0</v>
      </c>
      <c r="B11" s="7" t="s">
        <v>110</v>
      </c>
      <c r="C11" s="9" t="s">
        <v>111</v>
      </c>
      <c r="D11" s="9" t="s">
        <v>113</v>
      </c>
      <c r="E11" s="9" t="s">
        <v>114</v>
      </c>
      <c r="F11" s="12"/>
      <c r="G11" s="13"/>
      <c r="H11" s="13"/>
      <c r="I11" s="15"/>
    </row>
    <row r="12">
      <c r="A12" s="6">
        <v>11.0</v>
      </c>
      <c r="B12" s="7" t="s">
        <v>121</v>
      </c>
      <c r="C12" s="9" t="s">
        <v>122</v>
      </c>
      <c r="D12" s="9" t="s">
        <v>124</v>
      </c>
      <c r="E12" s="9" t="s">
        <v>125</v>
      </c>
      <c r="F12" s="12"/>
      <c r="G12" s="13"/>
      <c r="H12" s="13"/>
      <c r="I12" s="15"/>
    </row>
    <row r="13">
      <c r="A13" s="6">
        <v>12.0</v>
      </c>
      <c r="B13" s="7" t="s">
        <v>134</v>
      </c>
      <c r="C13" s="9" t="s">
        <v>135</v>
      </c>
      <c r="D13" s="9" t="s">
        <v>137</v>
      </c>
      <c r="E13" s="9" t="s">
        <v>138</v>
      </c>
      <c r="F13" s="12"/>
      <c r="G13" s="13"/>
      <c r="H13" s="13"/>
      <c r="I13" s="15"/>
    </row>
    <row r="14">
      <c r="A14" s="6">
        <v>13.0</v>
      </c>
      <c r="B14" s="7" t="s">
        <v>140</v>
      </c>
      <c r="C14" s="9" t="s">
        <v>141</v>
      </c>
      <c r="D14" s="9" t="s">
        <v>144</v>
      </c>
      <c r="E14" s="9" t="s">
        <v>146</v>
      </c>
      <c r="F14" s="12"/>
      <c r="G14" s="13"/>
      <c r="H14" s="13"/>
      <c r="I14" s="15"/>
    </row>
    <row r="15">
      <c r="A15" s="6">
        <v>14.0</v>
      </c>
      <c r="B15" s="7" t="s">
        <v>151</v>
      </c>
      <c r="C15" s="9" t="s">
        <v>152</v>
      </c>
      <c r="D15" s="9" t="s">
        <v>154</v>
      </c>
      <c r="E15" s="9" t="s">
        <v>156</v>
      </c>
      <c r="F15" s="12"/>
      <c r="G15" s="13"/>
      <c r="H15" s="13"/>
      <c r="I15" s="15"/>
    </row>
    <row r="16">
      <c r="A16" s="6">
        <v>15.0</v>
      </c>
      <c r="B16" s="7" t="s">
        <v>160</v>
      </c>
      <c r="C16" s="9" t="s">
        <v>162</v>
      </c>
      <c r="D16" s="9" t="s">
        <v>164</v>
      </c>
      <c r="E16" s="9" t="s">
        <v>167</v>
      </c>
      <c r="F16" s="12"/>
      <c r="G16" s="13"/>
      <c r="H16" s="13"/>
      <c r="I16" s="15"/>
    </row>
    <row r="17">
      <c r="A17" s="6">
        <v>16.0</v>
      </c>
      <c r="B17" s="7" t="s">
        <v>171</v>
      </c>
      <c r="C17" s="9" t="s">
        <v>173</v>
      </c>
      <c r="D17" s="9" t="s">
        <v>174</v>
      </c>
      <c r="E17" s="9" t="s">
        <v>175</v>
      </c>
      <c r="F17" s="12"/>
      <c r="G17" s="13"/>
      <c r="H17" s="13"/>
      <c r="I17" s="1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7"/>
  <dataValidations>
    <dataValidation type="list" allowBlank="1" sqref="F2:F17">
      <formula1>"Setuju,Tidak Setuju,Perlu Diskusi"</formula1>
    </dataValidation>
    <dataValidation type="date" operator="greaterThan" allowBlank="1" sqref="I2:I17">
      <formula1>DATE(2026,1,1)</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5.0"/>
    <col customWidth="1" min="2" max="2" width="7.0"/>
    <col customWidth="1" min="3" max="3" width="40.0"/>
    <col customWidth="1" min="4" max="4" width="32.0"/>
    <col customWidth="1" min="5" max="5" width="34.0"/>
    <col customWidth="1" min="6" max="6" width="46.0"/>
    <col customWidth="1" min="7" max="7" width="15.0"/>
    <col customWidth="1" min="8" max="8" width="40.0"/>
    <col customWidth="1" min="9" max="26" width="8.71"/>
  </cols>
  <sheetData>
    <row r="1" ht="30.0" customHeight="1">
      <c r="A1" s="5" t="s">
        <v>2</v>
      </c>
      <c r="B1" s="5" t="s">
        <v>7</v>
      </c>
      <c r="C1" s="5" t="s">
        <v>49</v>
      </c>
      <c r="D1" s="5" t="s">
        <v>51</v>
      </c>
      <c r="E1" s="5" t="s">
        <v>55</v>
      </c>
      <c r="F1" s="5" t="s">
        <v>12</v>
      </c>
      <c r="G1" s="5" t="s">
        <v>14</v>
      </c>
      <c r="H1" s="5" t="s">
        <v>17</v>
      </c>
    </row>
    <row r="2">
      <c r="A2" s="6">
        <v>1.0</v>
      </c>
      <c r="B2" s="7" t="s">
        <v>63</v>
      </c>
      <c r="C2" s="9" t="s">
        <v>64</v>
      </c>
      <c r="D2" s="9" t="s">
        <v>65</v>
      </c>
      <c r="E2" s="9" t="s">
        <v>66</v>
      </c>
      <c r="F2" s="9"/>
      <c r="G2" s="12"/>
      <c r="H2" s="13"/>
    </row>
    <row r="3">
      <c r="A3" s="6">
        <v>2.0</v>
      </c>
      <c r="B3" s="7" t="s">
        <v>85</v>
      </c>
      <c r="C3" s="9" t="s">
        <v>88</v>
      </c>
      <c r="D3" s="9" t="s">
        <v>66</v>
      </c>
      <c r="E3" s="9" t="s">
        <v>65</v>
      </c>
      <c r="F3" s="9" t="s">
        <v>90</v>
      </c>
      <c r="G3" s="12"/>
      <c r="H3" s="13"/>
    </row>
    <row r="4">
      <c r="A4" s="6">
        <v>3.0</v>
      </c>
      <c r="B4" s="7" t="s">
        <v>98</v>
      </c>
      <c r="C4" s="9" t="s">
        <v>102</v>
      </c>
      <c r="D4" s="9" t="s">
        <v>105</v>
      </c>
      <c r="E4" s="9" t="s">
        <v>106</v>
      </c>
      <c r="F4" s="9" t="s">
        <v>108</v>
      </c>
      <c r="G4" s="12"/>
      <c r="H4" s="13"/>
    </row>
    <row r="5">
      <c r="A5" s="6">
        <v>4.0</v>
      </c>
      <c r="B5" s="7" t="s">
        <v>118</v>
      </c>
      <c r="C5" s="9" t="s">
        <v>119</v>
      </c>
      <c r="D5" s="9" t="s">
        <v>120</v>
      </c>
      <c r="E5" s="9" t="s">
        <v>123</v>
      </c>
      <c r="F5" s="9" t="s">
        <v>126</v>
      </c>
      <c r="G5" s="12"/>
      <c r="H5" s="13"/>
    </row>
    <row r="6">
      <c r="A6" s="6">
        <v>5.0</v>
      </c>
      <c r="B6" s="7" t="s">
        <v>128</v>
      </c>
      <c r="C6" s="9" t="s">
        <v>130</v>
      </c>
      <c r="D6" s="9" t="s">
        <v>133</v>
      </c>
      <c r="E6" s="9" t="s">
        <v>136</v>
      </c>
      <c r="F6" s="9" t="s">
        <v>142</v>
      </c>
      <c r="G6" s="12"/>
      <c r="H6" s="13"/>
    </row>
    <row r="7">
      <c r="A7" s="6">
        <v>6.0</v>
      </c>
      <c r="B7" s="7" t="s">
        <v>150</v>
      </c>
      <c r="C7" s="9" t="s">
        <v>153</v>
      </c>
      <c r="D7" s="9" t="s">
        <v>155</v>
      </c>
      <c r="E7" s="9" t="s">
        <v>105</v>
      </c>
      <c r="F7" s="9" t="s">
        <v>158</v>
      </c>
      <c r="G7" s="12"/>
      <c r="H7" s="13"/>
    </row>
    <row r="8">
      <c r="A8" s="6">
        <v>7.0</v>
      </c>
      <c r="B8" s="7" t="s">
        <v>166</v>
      </c>
      <c r="C8" s="9" t="s">
        <v>169</v>
      </c>
      <c r="D8" s="9" t="s">
        <v>170</v>
      </c>
      <c r="E8" s="9" t="s">
        <v>105</v>
      </c>
      <c r="F8" s="9" t="s">
        <v>172</v>
      </c>
      <c r="G8" s="12"/>
      <c r="H8" s="13"/>
    </row>
    <row r="9">
      <c r="A9" s="6">
        <v>8.0</v>
      </c>
      <c r="B9" s="7" t="s">
        <v>179</v>
      </c>
      <c r="C9" s="9" t="s">
        <v>181</v>
      </c>
      <c r="D9" s="9" t="s">
        <v>183</v>
      </c>
      <c r="E9" s="9" t="s">
        <v>136</v>
      </c>
      <c r="F9" s="9" t="s">
        <v>184</v>
      </c>
      <c r="G9" s="12"/>
      <c r="H9" s="13"/>
    </row>
    <row r="10">
      <c r="A10" s="6">
        <v>9.0</v>
      </c>
      <c r="B10" s="7" t="s">
        <v>188</v>
      </c>
      <c r="C10" s="9" t="s">
        <v>190</v>
      </c>
      <c r="D10" s="9" t="s">
        <v>191</v>
      </c>
      <c r="E10" s="9" t="s">
        <v>136</v>
      </c>
      <c r="F10" s="9" t="s">
        <v>194</v>
      </c>
      <c r="G10" s="12"/>
      <c r="H10" s="13"/>
    </row>
    <row r="11">
      <c r="A11" s="6">
        <v>10.0</v>
      </c>
      <c r="B11" s="7" t="s">
        <v>197</v>
      </c>
      <c r="C11" s="9" t="s">
        <v>198</v>
      </c>
      <c r="D11" s="9" t="s">
        <v>201</v>
      </c>
      <c r="E11" s="9" t="s">
        <v>136</v>
      </c>
      <c r="F11" s="9" t="s">
        <v>204</v>
      </c>
      <c r="G11" s="12"/>
      <c r="H11" s="13"/>
    </row>
    <row r="12">
      <c r="A12" s="6">
        <v>11.0</v>
      </c>
      <c r="B12" s="7" t="s">
        <v>205</v>
      </c>
      <c r="C12" s="9" t="s">
        <v>206</v>
      </c>
      <c r="D12" s="9" t="s">
        <v>208</v>
      </c>
      <c r="E12" s="9" t="s">
        <v>105</v>
      </c>
      <c r="F12" s="9" t="s">
        <v>211</v>
      </c>
      <c r="G12" s="12"/>
      <c r="H12" s="13"/>
    </row>
    <row r="13">
      <c r="A13" s="6">
        <v>12.0</v>
      </c>
      <c r="B13" s="7" t="s">
        <v>215</v>
      </c>
      <c r="C13" s="9" t="s">
        <v>216</v>
      </c>
      <c r="D13" s="9" t="s">
        <v>217</v>
      </c>
      <c r="E13" s="9" t="s">
        <v>105</v>
      </c>
      <c r="F13" s="9" t="s">
        <v>211</v>
      </c>
      <c r="G13" s="12"/>
      <c r="H13" s="13"/>
    </row>
    <row r="14">
      <c r="A14" s="6">
        <v>13.0</v>
      </c>
      <c r="B14" s="7" t="s">
        <v>219</v>
      </c>
      <c r="C14" s="9" t="s">
        <v>220</v>
      </c>
      <c r="D14" s="9" t="s">
        <v>221</v>
      </c>
      <c r="E14" s="9" t="s">
        <v>133</v>
      </c>
      <c r="F14" s="9" t="s">
        <v>222</v>
      </c>
      <c r="G14" s="12"/>
      <c r="H14" s="13"/>
    </row>
    <row r="15">
      <c r="A15" s="6">
        <v>14.0</v>
      </c>
      <c r="B15" s="7" t="s">
        <v>226</v>
      </c>
      <c r="C15" s="9" t="s">
        <v>228</v>
      </c>
      <c r="D15" s="9" t="s">
        <v>230</v>
      </c>
      <c r="E15" s="9" t="s">
        <v>231</v>
      </c>
      <c r="F15" s="9" t="s">
        <v>232</v>
      </c>
      <c r="G15" s="12"/>
      <c r="H15" s="13"/>
    </row>
    <row r="16">
      <c r="A16" s="6">
        <v>15.0</v>
      </c>
      <c r="B16" s="7" t="s">
        <v>233</v>
      </c>
      <c r="C16" s="9" t="s">
        <v>234</v>
      </c>
      <c r="D16" s="9" t="s">
        <v>235</v>
      </c>
      <c r="E16" s="9" t="s">
        <v>237</v>
      </c>
      <c r="F16" s="9" t="s">
        <v>238</v>
      </c>
      <c r="G16" s="12"/>
      <c r="H16" s="13"/>
    </row>
    <row r="17">
      <c r="A17" s="6">
        <v>16.0</v>
      </c>
      <c r="B17" s="7" t="s">
        <v>243</v>
      </c>
      <c r="C17" s="9" t="s">
        <v>244</v>
      </c>
      <c r="D17" s="9" t="s">
        <v>245</v>
      </c>
      <c r="E17" s="9" t="s">
        <v>246</v>
      </c>
      <c r="F17" s="9"/>
      <c r="G17" s="12"/>
      <c r="H17" s="13"/>
    </row>
    <row r="18">
      <c r="A18" s="6">
        <v>17.0</v>
      </c>
      <c r="B18" s="7" t="s">
        <v>249</v>
      </c>
      <c r="C18" s="9" t="s">
        <v>251</v>
      </c>
      <c r="D18" s="9" t="s">
        <v>253</v>
      </c>
      <c r="E18" s="9" t="s">
        <v>245</v>
      </c>
      <c r="F18" s="9" t="s">
        <v>255</v>
      </c>
      <c r="G18" s="12"/>
      <c r="H18" s="13"/>
    </row>
    <row r="20">
      <c r="C20" s="2" t="s">
        <v>258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8"/>
  <dataValidations>
    <dataValidation type="list" allowBlank="1" sqref="G2:G18">
      <formula1>"Setuju,Tidak Setuju,Perlu Diskusi"</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0.0"/>
    <col customWidth="1" min="3" max="4" width="12.0"/>
    <col customWidth="1" min="5" max="5" width="14.0"/>
    <col customWidth="1" min="6" max="6" width="12.0"/>
    <col customWidth="1" min="7" max="7" width="14.0"/>
    <col customWidth="1" min="8" max="26" width="8.71"/>
  </cols>
  <sheetData>
    <row r="2">
      <c r="B2" s="16" t="s">
        <v>297</v>
      </c>
    </row>
    <row r="4">
      <c r="B4" s="5" t="s">
        <v>30</v>
      </c>
      <c r="C4" s="5" t="s">
        <v>100</v>
      </c>
      <c r="D4" s="5" t="s">
        <v>61</v>
      </c>
      <c r="E4" s="5" t="s">
        <v>306</v>
      </c>
      <c r="F4" s="5" t="s">
        <v>307</v>
      </c>
      <c r="G4" s="5" t="s">
        <v>308</v>
      </c>
    </row>
    <row r="5">
      <c r="B5" s="17" t="s">
        <v>54</v>
      </c>
      <c r="C5" s="18">
        <f>COUNTIFS(Pertanyaan!$H$2:$H$24,$B5,Pertanyaan!$M$2:$M$24,C$4)</f>
        <v>15</v>
      </c>
      <c r="D5" s="18">
        <f>COUNTIFS(Pertanyaan!$H$2:$H$24,$B5,Pertanyaan!$M$2:$M$24,D$4)</f>
        <v>0</v>
      </c>
      <c r="E5" s="18">
        <f>COUNTIFS(Pertanyaan!$H$2:$H$24,$B5,Pertanyaan!$M$2:$M$24,E$4)</f>
        <v>0</v>
      </c>
      <c r="F5" s="18">
        <f>COUNTIF(Pertanyaan!$H$2:$H$24,$B5)</f>
        <v>15</v>
      </c>
      <c r="G5" s="19">
        <f t="shared" ref="G5:G9" si="1">IF(F5=0,0,D5/F5)</f>
        <v>0</v>
      </c>
    </row>
    <row r="6">
      <c r="B6" s="17" t="s">
        <v>282</v>
      </c>
      <c r="C6" s="18">
        <f>COUNTIFS(Pertanyaan!$H$2:$H$24,$B6,Pertanyaan!$M$2:$M$24,C$4)</f>
        <v>2</v>
      </c>
      <c r="D6" s="18">
        <f>COUNTIFS(Pertanyaan!$H$2:$H$24,$B6,Pertanyaan!$M$2:$M$24,D$4)</f>
        <v>0</v>
      </c>
      <c r="E6" s="18">
        <f>COUNTIFS(Pertanyaan!$H$2:$H$24,$B6,Pertanyaan!$M$2:$M$24,E$4)</f>
        <v>0</v>
      </c>
      <c r="F6" s="18">
        <f>COUNTIF(Pertanyaan!$H$2:$H$24,$B6)</f>
        <v>2</v>
      </c>
      <c r="G6" s="19">
        <f t="shared" si="1"/>
        <v>0</v>
      </c>
    </row>
    <row r="7">
      <c r="B7" s="17" t="s">
        <v>296</v>
      </c>
      <c r="C7" s="18">
        <f>COUNTIFS(Pertanyaan!$H$2:$H$24,$B7,Pertanyaan!$M$2:$M$24,C$4)</f>
        <v>1</v>
      </c>
      <c r="D7" s="18">
        <f>COUNTIFS(Pertanyaan!$H$2:$H$24,$B7,Pertanyaan!$M$2:$M$24,D$4)</f>
        <v>0</v>
      </c>
      <c r="E7" s="18">
        <f>COUNTIFS(Pertanyaan!$H$2:$H$24,$B7,Pertanyaan!$M$2:$M$24,E$4)</f>
        <v>0</v>
      </c>
      <c r="F7" s="18">
        <f>COUNTIF(Pertanyaan!$H$2:$H$24,$B7)</f>
        <v>1</v>
      </c>
      <c r="G7" s="19">
        <f t="shared" si="1"/>
        <v>0</v>
      </c>
    </row>
    <row r="8">
      <c r="B8" s="17" t="s">
        <v>304</v>
      </c>
      <c r="C8" s="18">
        <f>COUNTIFS(Pertanyaan!$H$2:$H$24,$B8,Pertanyaan!$M$2:$M$24,C$4)</f>
        <v>5</v>
      </c>
      <c r="D8" s="18">
        <f>COUNTIFS(Pertanyaan!$H$2:$H$24,$B8,Pertanyaan!$M$2:$M$24,D$4)</f>
        <v>0</v>
      </c>
      <c r="E8" s="18">
        <f>COUNTIFS(Pertanyaan!$H$2:$H$24,$B8,Pertanyaan!$M$2:$M$24,E$4)</f>
        <v>0</v>
      </c>
      <c r="F8" s="18">
        <f>COUNTIF(Pertanyaan!$H$2:$H$24,$B8)</f>
        <v>5</v>
      </c>
      <c r="G8" s="19">
        <f t="shared" si="1"/>
        <v>0</v>
      </c>
    </row>
    <row r="9">
      <c r="B9" s="20" t="s">
        <v>307</v>
      </c>
      <c r="C9" s="21">
        <f t="shared" ref="C9:F9" si="2">SUM(C5:C8)</f>
        <v>23</v>
      </c>
      <c r="D9" s="21">
        <f t="shared" si="2"/>
        <v>0</v>
      </c>
      <c r="E9" s="21">
        <f t="shared" si="2"/>
        <v>0</v>
      </c>
      <c r="F9" s="21">
        <f t="shared" si="2"/>
        <v>23</v>
      </c>
      <c r="G9" s="22">
        <f t="shared" si="1"/>
        <v>0</v>
      </c>
    </row>
    <row r="12">
      <c r="B12" s="16" t="s">
        <v>335</v>
      </c>
    </row>
    <row r="14">
      <c r="B14" s="5" t="s">
        <v>41</v>
      </c>
      <c r="C14" s="5" t="s">
        <v>336</v>
      </c>
    </row>
    <row r="15">
      <c r="B15" s="17" t="s">
        <v>337</v>
      </c>
      <c r="C15" s="18">
        <f>COUNTIF(Konfirmasi!$F$2:$F$17,B15)</f>
        <v>0</v>
      </c>
    </row>
    <row r="16">
      <c r="B16" s="17" t="s">
        <v>338</v>
      </c>
      <c r="C16" s="18">
        <f>COUNTIF(Konfirmasi!$F$2:$F$17,B16)</f>
        <v>0</v>
      </c>
    </row>
    <row r="17">
      <c r="B17" s="17" t="s">
        <v>306</v>
      </c>
      <c r="C17" s="18">
        <f>COUNTIF(Konfirmasi!$F$2:$F$17,B17)</f>
        <v>0</v>
      </c>
    </row>
    <row r="18">
      <c r="B18" s="17" t="s">
        <v>339</v>
      </c>
      <c r="C18" s="18">
        <f>COUNTA(Konfirmasi!$B$2:$B$17)-SUM(C15:C17)</f>
        <v>16</v>
      </c>
    </row>
    <row r="19">
      <c r="B19" s="20" t="s">
        <v>307</v>
      </c>
      <c r="C19" s="21">
        <f>COUNTA(Konfirmasi!$B$2:$B$17)</f>
        <v>16</v>
      </c>
    </row>
    <row r="21" ht="15.75" customHeight="1"/>
    <row r="22" ht="15.75" customHeight="1">
      <c r="B22" s="16" t="s">
        <v>340</v>
      </c>
    </row>
    <row r="23" ht="15.75" customHeight="1"/>
    <row r="24" ht="15.75" customHeight="1">
      <c r="B24" s="5" t="s">
        <v>41</v>
      </c>
      <c r="C24" s="5" t="s">
        <v>336</v>
      </c>
    </row>
    <row r="25" ht="15.75" customHeight="1">
      <c r="B25" s="17" t="s">
        <v>337</v>
      </c>
      <c r="C25" s="18">
        <f>COUNTIF('Validasi Akuntansi'!$G$2:$G$18,B25)</f>
        <v>0</v>
      </c>
    </row>
    <row r="26" ht="15.75" customHeight="1">
      <c r="B26" s="17" t="s">
        <v>338</v>
      </c>
      <c r="C26" s="18">
        <f>COUNTIF('Validasi Akuntansi'!$G$2:$G$18,B26)</f>
        <v>0</v>
      </c>
    </row>
    <row r="27" ht="15.75" customHeight="1">
      <c r="B27" s="17" t="s">
        <v>306</v>
      </c>
      <c r="C27" s="18">
        <f>COUNTIF('Validasi Akuntansi'!$G$2:$G$18,B27)</f>
        <v>0</v>
      </c>
    </row>
    <row r="28" ht="15.75" customHeight="1">
      <c r="B28" s="17" t="s">
        <v>339</v>
      </c>
      <c r="C28" s="18">
        <f>COUNTA('Validasi Akuntansi'!$B$2:$B$18)-SUM(C25:C27)</f>
        <v>17</v>
      </c>
    </row>
    <row r="29" ht="15.75" customHeight="1">
      <c r="B29" s="20" t="s">
        <v>307</v>
      </c>
      <c r="C29" s="21">
        <f>COUNTA('Validasi Akuntansi'!$B$2:$B$18)</f>
        <v>17</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